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D" sheetId="1" state="visible" r:id="rId1"/>
    <sheet name="Settings" sheetId="2" state="visible" r:id="rId2"/>
    <sheet name="Playbook" sheetId="3" state="hidden" r:id="rId3"/>
    <sheet name="FightLog" sheetId="4" state="visible" r:id="rId4"/>
    <sheet name="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d0d0e8"/>
      <sz val="9"/>
    </font>
    <font>
      <name val="Calibri"/>
      <b val="1"/>
      <color rgb="00ffffff"/>
      <sz val="14"/>
    </font>
    <font>
      <name val="Calibri"/>
      <color rgb="00a0a8cc"/>
      <sz val="10"/>
    </font>
    <font>
      <name val="Calibri"/>
      <color rgb="00ffffff"/>
      <sz val="10"/>
    </font>
    <font>
      <name val="Calibri"/>
      <color rgb="008888aa"/>
      <sz val="9"/>
    </font>
    <font>
      <name val="Calibri"/>
      <b val="1"/>
      <color rgb="00a0a8cc"/>
      <sz val="10"/>
    </font>
    <font>
      <name val="Calibri"/>
      <b val="1"/>
      <color rgb="00ffd60a"/>
      <sz val="14"/>
    </font>
    <font>
      <name val="Calibri"/>
      <b val="1"/>
      <color rgb="00ffffff"/>
      <sz val="22"/>
    </font>
    <font>
      <name val="Calibri"/>
      <b val="1"/>
      <color rgb="00ffd60a"/>
      <sz val="10"/>
    </font>
    <font>
      <name val="Calibri"/>
      <color rgb="00d0d0e8"/>
      <sz val="10"/>
    </font>
    <font>
      <name val="Calibri"/>
      <b val="1"/>
      <color rgb="00ffffff"/>
      <sz val="10"/>
    </font>
    <font>
      <name val="Calibri"/>
      <b val="1"/>
      <color rgb="0006d6a0"/>
      <sz val="11"/>
    </font>
    <font>
      <name val="Calibri"/>
      <b val="1"/>
      <color rgb="00ffffff"/>
      <sz val="11"/>
    </font>
    <font>
      <name val="Calibri"/>
      <b val="1"/>
      <color rgb="00a0a8cc"/>
      <sz val="9"/>
    </font>
    <font>
      <name val="Calibri"/>
      <color rgb="00ffb703"/>
      <sz val="8"/>
    </font>
    <font>
      <name val="Calibri"/>
      <color rgb="00a0a8cc"/>
      <sz val="9"/>
    </font>
    <font>
      <name val="Calibri"/>
      <b val="1"/>
      <color rgb="00ffb703"/>
      <sz val="10"/>
    </font>
    <font>
      <name val="Calibri"/>
      <color rgb="00ffb703"/>
      <sz val="9"/>
    </font>
    <font>
      <name val="Calibri"/>
      <b val="1"/>
      <color rgb="000a0a14"/>
      <sz val="11"/>
    </font>
    <font>
      <name val="Calibri"/>
      <b val="1"/>
      <color rgb="0006d6a0"/>
      <sz val="20"/>
    </font>
    <font>
      <name val="Calibri"/>
      <b val="1"/>
      <color rgb="00a0a8cc"/>
      <sz val="12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3132a"/>
      </patternFill>
    </fill>
    <fill>
      <patternFill patternType="solid">
        <fgColor rgb="000f0f20"/>
      </patternFill>
    </fill>
    <fill>
      <patternFill patternType="solid">
        <fgColor rgb="00e63946"/>
      </patternFill>
    </fill>
    <fill>
      <patternFill patternType="solid">
        <fgColor rgb="001e1e3f"/>
      </patternFill>
    </fill>
    <fill>
      <patternFill patternType="solid">
        <fgColor rgb="000a0a14"/>
      </patternFill>
    </fill>
    <fill>
      <patternFill patternType="solid">
        <fgColor rgb="00110000"/>
      </patternFill>
    </fill>
    <fill>
      <patternFill patternType="solid">
        <fgColor rgb="001e1e3a"/>
      </patternFill>
    </fill>
    <fill>
      <patternFill patternType="solid">
        <fgColor rgb="00ffb703"/>
      </patternFill>
    </fill>
    <fill>
      <patternFill patternType="solid">
        <fgColor rgb="001a0a00"/>
      </patternFill>
    </fill>
    <fill>
      <patternFill patternType="solid">
        <fgColor rgb="0048cae4"/>
      </patternFill>
    </fill>
    <fill>
      <patternFill patternType="solid">
        <fgColor rgb="0006d6a0"/>
      </patternFill>
    </fill>
    <fill>
      <patternFill patternType="solid">
        <fgColor rgb="002a2a4a"/>
      </patternFill>
    </fill>
    <fill>
      <patternFill patternType="solid">
        <fgColor rgb="000d2a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0" fillId="9" borderId="0" pivotButton="0" quotePrefix="0" xfId="0"/>
    <xf numFmtId="0" fontId="7" fillId="3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/>
    </xf>
    <xf numFmtId="0" fontId="12" fillId="6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/>
    </xf>
    <xf numFmtId="0" fontId="16" fillId="6" borderId="0" applyAlignment="1" pivotButton="0" quotePrefix="0" xfId="0">
      <alignment vertical="center" wrapText="1"/>
    </xf>
    <xf numFmtId="0" fontId="17" fillId="3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0" fontId="18" fillId="11" borderId="0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11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right" vertical="center"/>
    </xf>
    <xf numFmtId="0" fontId="0" fillId="3" borderId="0" pivotButton="0" quotePrefix="0" xfId="0"/>
    <xf numFmtId="0" fontId="2" fillId="3" borderId="0" applyAlignment="1" pivotButton="0" quotePrefix="0" xfId="0">
      <alignment vertical="center" wrapText="1"/>
    </xf>
    <xf numFmtId="0" fontId="19" fillId="3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14" fillId="12" borderId="0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164" fontId="21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0" fillId="7" borderId="0" pivotButton="0" quotePrefix="0" xfId="0"/>
    <xf numFmtId="0" fontId="22" fillId="1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 wrapText="1"/>
    </xf>
    <xf numFmtId="0" fontId="1" fillId="15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10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3946"/>
    <outlinePr summaryBelow="1" summaryRight="1"/>
    <pageSetUpPr/>
  </sheetPr>
  <dimension ref="A1:I6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</cols>
  <sheetData>
    <row r="1" ht="55" customHeight="1">
      <c r="A1" s="1" t="inlineStr">
        <is>
          <t>⚔️  F I G H T E R ' S   O S</t>
        </is>
      </c>
    </row>
    <row r="2" ht="22" customHeight="1">
      <c r="A2" s="2" t="inlineStr">
        <is>
          <t>FlyeFit Macken Street  |  Combat Performance System</t>
        </is>
      </c>
    </row>
    <row r="3" ht="4" customHeight="1">
      <c r="A3" s="3" t="n"/>
    </row>
    <row r="4" ht="32" customHeight="1">
      <c r="A4" s="4" t="inlineStr">
        <is>
          <t>SELECT YOUR DAY</t>
        </is>
      </c>
      <c r="B4" s="5" t="inlineStr">
        <is>
          <t>Day 1</t>
        </is>
      </c>
      <c r="C4" s="6" t="inlineStr"/>
      <c r="D4" s="4" t="inlineStr">
        <is>
          <t>PHASE</t>
        </is>
      </c>
      <c r="E4" s="7">
        <f>"Phase "&amp;Settings!B3</f>
        <v/>
      </c>
      <c r="F4" s="4" t="inlineStr">
        <is>
          <t>HIP SCORE (1-5)</t>
        </is>
      </c>
      <c r="G4" s="7" t="n">
        <v>3</v>
      </c>
      <c r="H4" s="8">
        <f>IF(G4&lt;=2,"🔴 HIGH ALERT",IF(G4=3,"🟡 MODERATE","🟢 GOOD"))</f>
        <v/>
      </c>
    </row>
    <row r="5" ht="26" customHeight="1">
      <c r="A5" s="9">
        <f>IF(OR(B4="Day 2",B4="Day 4"),"🥊  FIGHT GYM DAY — Log your session in the Notes section below","")</f>
        <v/>
      </c>
    </row>
    <row r="6" ht="4" customHeight="1">
      <c r="A6" s="3" t="n"/>
    </row>
    <row r="7" ht="26" customHeight="1">
      <c r="A7" s="10" t="inlineStr">
        <is>
          <t>🔥  MOBILITY  &amp;  INJURY PREP</t>
        </is>
      </c>
    </row>
    <row r="8" ht="22" customHeight="1">
      <c r="A8" s="11" t="inlineStr">
        <is>
          <t>Movement</t>
        </is>
      </c>
      <c r="B8" s="12" t="inlineStr">
        <is>
          <t>✓ Done</t>
        </is>
      </c>
      <c r="C8" s="11" t="inlineStr">
        <is>
          <t>Duration</t>
        </is>
      </c>
      <c r="D8" s="11" t="inlineStr">
        <is>
          <t>Coach Cue</t>
        </is>
      </c>
    </row>
    <row r="9" ht="30" customHeight="1">
      <c r="A9" s="13">
        <f>IF(H4&lt;=2,IF(IFERROR(INDEX(Playbook!G:G,MATCH("P"&amp;Settings!B3&amp;"-D"&amp;MID(B4,5,1)&amp;"-MOB-1-HA",Playbook!A:A,0)),"")&lt;&gt;"","🔴 "&amp;IFERROR(INDEX(Playbook!G:G,MATCH("P"&amp;Settings!B3&amp;"-D"&amp;MID(B4,5,1)&amp;"-MOB-1-HA",Playbook!A:A,0)),""),IFERROR(INDEX(Playbook!G:G,MATCH("P"&amp;Settings!B3&amp;"-D"&amp;MID(B4,5,1)&amp;"-MOB-1-STD",Playbook!A:A,0)),"")),IFERROR(INDEX(Playbook!G:G,MATCH("P"&amp;Settings!B3&amp;"-D"&amp;MID(B4,5,1)&amp;"-MOB-1-STD",Playbook!A:A,0)),""))</f>
        <v/>
      </c>
      <c r="B9" s="14" t="b">
        <v>0</v>
      </c>
      <c r="C9" s="15">
        <f>IFERROR(INDEX(Playbook!I:I,MATCH("P"&amp;Settings!B3&amp;"-D"&amp;MID(B4,5,1)&amp;"-MOB-1-STD",Playbook!A:A,0)),"")</f>
        <v/>
      </c>
      <c r="D9" s="16">
        <f>IF(H4&lt;=2,IF(IFERROR(INDEX(Playbook!O:O,MATCH("P"&amp;Settings!B3&amp;"-D"&amp;MID(B4,5,1)&amp;"-MOB-1-HA",Playbook!A:A,0)),"")&lt;&gt;"","🔴 "&amp;IFERROR(INDEX(Playbook!O:O,MATCH("P"&amp;Settings!B3&amp;"-D"&amp;MID(B4,5,1)&amp;"-MOB-1-HA",Playbook!A:A,0)),""),IFERROR(INDEX(Playbook!O:O,MATCH("P"&amp;Settings!B3&amp;"-D"&amp;MID(B4,5,1)&amp;"-MOB-1-STD",Playbook!A:A,0)),"")),IFERROR(INDEX(Playbook!O:O,MATCH("P"&amp;Settings!B3&amp;"-D"&amp;MID(B4,5,1)&amp;"-MOB-1-STD",Playbook!A:A,0)),""))</f>
        <v/>
      </c>
    </row>
    <row r="10" ht="30" customHeight="1">
      <c r="A10" s="13">
        <f>IF(H4&lt;=2,IF(IFERROR(INDEX(Playbook!G:G,MATCH("P"&amp;Settings!B3&amp;"-D"&amp;MID(B4,5,1)&amp;"-MOB-2-HA",Playbook!A:A,0)),"")&lt;&gt;"","🔴 "&amp;IFERROR(INDEX(Playbook!G:G,MATCH("P"&amp;Settings!B3&amp;"-D"&amp;MID(B4,5,1)&amp;"-MOB-2-HA",Playbook!A:A,0)),""),IFERROR(INDEX(Playbook!G:G,MATCH("P"&amp;Settings!B3&amp;"-D"&amp;MID(B4,5,1)&amp;"-MOB-2-STD",Playbook!A:A,0)),"")),IFERROR(INDEX(Playbook!G:G,MATCH("P"&amp;Settings!B3&amp;"-D"&amp;MID(B4,5,1)&amp;"-MOB-2-STD",Playbook!A:A,0)),""))</f>
        <v/>
      </c>
      <c r="B10" s="14" t="b">
        <v>0</v>
      </c>
      <c r="C10" s="15">
        <f>IFERROR(INDEX(Playbook!I:I,MATCH("P"&amp;Settings!B3&amp;"-D"&amp;MID(B4,5,1)&amp;"-MOB-2-STD",Playbook!A:A,0)),"")</f>
        <v/>
      </c>
      <c r="D10" s="16">
        <f>IF(H4&lt;=2,IF(IFERROR(INDEX(Playbook!O:O,MATCH("P"&amp;Settings!B3&amp;"-D"&amp;MID(B4,5,1)&amp;"-MOB-2-HA",Playbook!A:A,0)),"")&lt;&gt;"","🔴 "&amp;IFERROR(INDEX(Playbook!O:O,MATCH("P"&amp;Settings!B3&amp;"-D"&amp;MID(B4,5,1)&amp;"-MOB-2-HA",Playbook!A:A,0)),""),IFERROR(INDEX(Playbook!O:O,MATCH("P"&amp;Settings!B3&amp;"-D"&amp;MID(B4,5,1)&amp;"-MOB-2-STD",Playbook!A:A,0)),"")),IFERROR(INDEX(Playbook!O:O,MATCH("P"&amp;Settings!B3&amp;"-D"&amp;MID(B4,5,1)&amp;"-MOB-2-STD",Playbook!A:A,0)),""))</f>
        <v/>
      </c>
    </row>
    <row r="11" ht="30" customHeight="1">
      <c r="A11" s="13">
        <f>IF(H4&lt;=2,IF(IFERROR(INDEX(Playbook!G:G,MATCH("P"&amp;Settings!B3&amp;"-D"&amp;MID(B4,5,1)&amp;"-MOB-3-HA",Playbook!A:A,0)),"")&lt;&gt;"","🔴 "&amp;IFERROR(INDEX(Playbook!G:G,MATCH("P"&amp;Settings!B3&amp;"-D"&amp;MID(B4,5,1)&amp;"-MOB-3-HA",Playbook!A:A,0)),""),IFERROR(INDEX(Playbook!G:G,MATCH("P"&amp;Settings!B3&amp;"-D"&amp;MID(B4,5,1)&amp;"-MOB-3-STD",Playbook!A:A,0)),"")),IFERROR(INDEX(Playbook!G:G,MATCH("P"&amp;Settings!B3&amp;"-D"&amp;MID(B4,5,1)&amp;"-MOB-3-STD",Playbook!A:A,0)),""))</f>
        <v/>
      </c>
      <c r="B11" s="14" t="b">
        <v>0</v>
      </c>
      <c r="C11" s="15">
        <f>IFERROR(INDEX(Playbook!I:I,MATCH("P"&amp;Settings!B3&amp;"-D"&amp;MID(B4,5,1)&amp;"-MOB-3-STD",Playbook!A:A,0)),"")</f>
        <v/>
      </c>
      <c r="D11" s="16">
        <f>IF(H4&lt;=2,IF(IFERROR(INDEX(Playbook!O:O,MATCH("P"&amp;Settings!B3&amp;"-D"&amp;MID(B4,5,1)&amp;"-MOB-3-HA",Playbook!A:A,0)),"")&lt;&gt;"","🔴 "&amp;IFERROR(INDEX(Playbook!O:O,MATCH("P"&amp;Settings!B3&amp;"-D"&amp;MID(B4,5,1)&amp;"-MOB-3-HA",Playbook!A:A,0)),""),IFERROR(INDEX(Playbook!O:O,MATCH("P"&amp;Settings!B3&amp;"-D"&amp;MID(B4,5,1)&amp;"-MOB-3-STD",Playbook!A:A,0)),"")),IFERROR(INDEX(Playbook!O:O,MATCH("P"&amp;Settings!B3&amp;"-D"&amp;MID(B4,5,1)&amp;"-MOB-3-STD",Playbook!A:A,0)),""))</f>
        <v/>
      </c>
    </row>
    <row r="12" ht="30" customHeight="1">
      <c r="A12" s="13">
        <f>IF(H4&lt;=2,IF(IFERROR(INDEX(Playbook!G:G,MATCH("P"&amp;Settings!B3&amp;"-D"&amp;MID(B4,5,1)&amp;"-MOB-4-HA",Playbook!A:A,0)),"")&lt;&gt;"","🔴 "&amp;IFERROR(INDEX(Playbook!G:G,MATCH("P"&amp;Settings!B3&amp;"-D"&amp;MID(B4,5,1)&amp;"-MOB-4-HA",Playbook!A:A,0)),""),IFERROR(INDEX(Playbook!G:G,MATCH("P"&amp;Settings!B3&amp;"-D"&amp;MID(B4,5,1)&amp;"-MOB-4-STD",Playbook!A:A,0)),"")),IFERROR(INDEX(Playbook!G:G,MATCH("P"&amp;Settings!B3&amp;"-D"&amp;MID(B4,5,1)&amp;"-MOB-4-STD",Playbook!A:A,0)),""))</f>
        <v/>
      </c>
      <c r="B12" s="14" t="b">
        <v>0</v>
      </c>
      <c r="C12" s="15">
        <f>IFERROR(INDEX(Playbook!I:I,MATCH("P"&amp;Settings!B3&amp;"-D"&amp;MID(B4,5,1)&amp;"-MOB-4-STD",Playbook!A:A,0)),"")</f>
        <v/>
      </c>
      <c r="D12" s="16">
        <f>IF(H4&lt;=2,IF(IFERROR(INDEX(Playbook!O:O,MATCH("P"&amp;Settings!B3&amp;"-D"&amp;MID(B4,5,1)&amp;"-MOB-4-HA",Playbook!A:A,0)),"")&lt;&gt;"","🔴 "&amp;IFERROR(INDEX(Playbook!O:O,MATCH("P"&amp;Settings!B3&amp;"-D"&amp;MID(B4,5,1)&amp;"-MOB-4-HA",Playbook!A:A,0)),""),IFERROR(INDEX(Playbook!O:O,MATCH("P"&amp;Settings!B3&amp;"-D"&amp;MID(B4,5,1)&amp;"-MOB-4-STD",Playbook!A:A,0)),"")),IFERROR(INDEX(Playbook!O:O,MATCH("P"&amp;Settings!B3&amp;"-D"&amp;MID(B4,5,1)&amp;"-MOB-4-STD",Playbook!A:A,0)),""))</f>
        <v/>
      </c>
    </row>
    <row r="13" ht="30" customHeight="1">
      <c r="A13" s="13">
        <f>IF(H4&lt;=2,IF(IFERROR(INDEX(Playbook!G:G,MATCH("P"&amp;Settings!B3&amp;"-D"&amp;MID(B4,5,1)&amp;"-MOB-5-HA",Playbook!A:A,0)),"")&lt;&gt;"","🔴 "&amp;IFERROR(INDEX(Playbook!G:G,MATCH("P"&amp;Settings!B3&amp;"-D"&amp;MID(B4,5,1)&amp;"-MOB-5-HA",Playbook!A:A,0)),""),IFERROR(INDEX(Playbook!G:G,MATCH("P"&amp;Settings!B3&amp;"-D"&amp;MID(B4,5,1)&amp;"-MOB-5-STD",Playbook!A:A,0)),"")),IFERROR(INDEX(Playbook!G:G,MATCH("P"&amp;Settings!B3&amp;"-D"&amp;MID(B4,5,1)&amp;"-MOB-5-STD",Playbook!A:A,0)),""))</f>
        <v/>
      </c>
      <c r="B13" s="14" t="b">
        <v>0</v>
      </c>
      <c r="C13" s="15">
        <f>IFERROR(INDEX(Playbook!I:I,MATCH("P"&amp;Settings!B3&amp;"-D"&amp;MID(B4,5,1)&amp;"-MOB-5-STD",Playbook!A:A,0)),"")</f>
        <v/>
      </c>
      <c r="D13" s="16">
        <f>IF(H4&lt;=2,IF(IFERROR(INDEX(Playbook!O:O,MATCH("P"&amp;Settings!B3&amp;"-D"&amp;MID(B4,5,1)&amp;"-MOB-5-HA",Playbook!A:A,0)),"")&lt;&gt;"","🔴 "&amp;IFERROR(INDEX(Playbook!O:O,MATCH("P"&amp;Settings!B3&amp;"-D"&amp;MID(B4,5,1)&amp;"-MOB-5-HA",Playbook!A:A,0)),""),IFERROR(INDEX(Playbook!O:O,MATCH("P"&amp;Settings!B3&amp;"-D"&amp;MID(B4,5,1)&amp;"-MOB-5-STD",Playbook!A:A,0)),"")),IFERROR(INDEX(Playbook!O:O,MATCH("P"&amp;Settings!B3&amp;"-D"&amp;MID(B4,5,1)&amp;"-MOB-5-STD",Playbook!A:A,0)),""))</f>
        <v/>
      </c>
    </row>
    <row r="14" ht="4" customHeight="1">
      <c r="A14" s="3" t="n"/>
    </row>
    <row r="15" ht="26" customHeight="1">
      <c r="A15" s="17" t="inlineStr">
        <is>
          <t>💪  STRENGTH  +  PAP  SUPERSETS</t>
        </is>
      </c>
    </row>
    <row r="16" ht="22" customHeight="1">
      <c r="A16" s="12" t="inlineStr">
        <is>
          <t>Exercise</t>
        </is>
      </c>
      <c r="B16" s="12" t="inlineStr">
        <is>
          <t>S1 kg</t>
        </is>
      </c>
      <c r="C16" s="12" t="inlineStr">
        <is>
          <t>S1 reps</t>
        </is>
      </c>
      <c r="D16" s="12" t="inlineStr">
        <is>
          <t>S2 kg</t>
        </is>
      </c>
      <c r="E16" s="12" t="inlineStr">
        <is>
          <t>S2 reps</t>
        </is>
      </c>
      <c r="F16" s="12" t="inlineStr">
        <is>
          <t>S3 kg</t>
        </is>
      </c>
      <c r="G16" s="12" t="inlineStr">
        <is>
          <t>S3 reps</t>
        </is>
      </c>
      <c r="H16" s="12" t="inlineStr">
        <is>
          <t>S4 kg</t>
        </is>
      </c>
      <c r="I16" s="12" t="inlineStr">
        <is>
          <t>S4 reps</t>
        </is>
      </c>
    </row>
    <row r="17" ht="28" customHeight="1">
      <c r="A17" s="18">
        <f>IF(IFERROR(INDEX(Playbook!G:G,MATCH("P"&amp;Settings!B3&amp;"-D"&amp;MID(B4,5,1)&amp;"-STR-1",Playbook!A:A,0)),"")="","","[A] "&amp;IFERROR(INDEX(Playbook!G:G,MATCH("P"&amp;Settings!B3&amp;"-D"&amp;MID(B4,5,1)&amp;"-STR-1",Playbook!A:A,0)),""))</f>
        <v/>
      </c>
      <c r="B17" s="19">
        <f>IFERROR("Target: "&amp;INDEX(Playbook!I:I,MATCH("P"&amp;Settings!B3&amp;"-D"&amp;MID(B4,5,1)&amp;"-STR-1",Playbook!A:A,0))&amp;"  |  "&amp;INDEX(Playbook!J:J,MATCH("P"&amp;Settings!B3&amp;"-D"&amp;MID(B4,5,1)&amp;"-STR-1",Playbook!A:A,0)),"")</f>
        <v/>
      </c>
      <c r="I17" s="20">
        <f>IFERROR("💡 "&amp;INDEX(Playbook!O:O,MATCH("P"&amp;Settings!B3&amp;"-D"&amp;MID(B4,5,1)&amp;"-STR-1",Playbook!A:A,0)),"")</f>
        <v/>
      </c>
    </row>
    <row r="18" ht="26" customHeight="1">
      <c r="A18" s="21" t="inlineStr">
        <is>
          <t>Set 1</t>
        </is>
      </c>
      <c r="B18" s="22" t="inlineStr"/>
      <c r="C18" s="22" t="inlineStr"/>
      <c r="D18" s="22" t="inlineStr"/>
      <c r="E18" s="22" t="inlineStr"/>
      <c r="F18" s="22" t="inlineStr"/>
      <c r="G18" s="22" t="inlineStr"/>
      <c r="H18" s="22" t="inlineStr"/>
      <c r="I18" s="22" t="inlineStr"/>
    </row>
    <row r="19" ht="26" customHeight="1">
      <c r="A19" s="21" t="inlineStr">
        <is>
          <t>Set 2</t>
        </is>
      </c>
      <c r="B19" s="22" t="inlineStr"/>
      <c r="C19" s="22" t="inlineStr"/>
      <c r="D19" s="22" t="inlineStr"/>
      <c r="E19" s="22" t="inlineStr"/>
      <c r="F19" s="22" t="inlineStr"/>
      <c r="G19" s="22" t="inlineStr"/>
      <c r="H19" s="22" t="inlineStr"/>
      <c r="I19" s="22" t="inlineStr"/>
    </row>
    <row r="20" ht="26" customHeight="1">
      <c r="A20" s="21" t="inlineStr">
        <is>
          <t>Set 3</t>
        </is>
      </c>
      <c r="B20" s="22" t="inlineStr"/>
      <c r="C20" s="22" t="inlineStr"/>
      <c r="D20" s="22" t="inlineStr"/>
      <c r="E20" s="22" t="inlineStr"/>
      <c r="F20" s="22" t="inlineStr"/>
      <c r="G20" s="22" t="inlineStr"/>
      <c r="H20" s="22" t="inlineStr"/>
      <c r="I20" s="22" t="inlineStr"/>
    </row>
    <row r="21" ht="26" customHeight="1">
      <c r="A21" s="21" t="inlineStr">
        <is>
          <t>Set 4</t>
        </is>
      </c>
      <c r="B21" s="22" t="inlineStr"/>
      <c r="C21" s="22" t="inlineStr"/>
      <c r="D21" s="22" t="inlineStr"/>
      <c r="E21" s="22" t="inlineStr"/>
      <c r="F21" s="22" t="inlineStr"/>
      <c r="G21" s="22" t="inlineStr"/>
      <c r="H21" s="22" t="inlineStr"/>
      <c r="I21" s="22" t="inlineStr"/>
    </row>
    <row r="22" ht="26" customHeight="1">
      <c r="A22" s="23">
        <f>IFERROR("⚡ PAP: "&amp;INDEX(Playbook!K:K,MATCH("P"&amp;Settings!B3&amp;"-D"&amp;MID(B4,5,1)&amp;"-STR-1",Playbook!A:A,0))&amp;"  ("&amp;INDEX(Playbook!L:L,MATCH("P"&amp;Settings!B3&amp;"-D"&amp;MID(B4,5,1)&amp;"-STR-1",Playbook!A:A,0))&amp;"×"&amp;INDEX(Playbook!M:M,MATCH("P"&amp;Settings!B3&amp;"-D"&amp;MID(B4,5,1)&amp;"-STR-1",Playbook!A:A,0))&amp;")","—")</f>
        <v/>
      </c>
      <c r="B22" s="24" t="b">
        <v>0</v>
      </c>
      <c r="C22" s="25" t="inlineStr">
        <is>
          <t>✓ PAP Done</t>
        </is>
      </c>
      <c r="D22" s="26" t="n"/>
      <c r="E22" s="26" t="n"/>
      <c r="F22" s="26" t="n"/>
      <c r="G22" s="26" t="n"/>
      <c r="H22" s="26" t="n"/>
      <c r="I22" s="26" t="n"/>
    </row>
    <row r="23" ht="28" customHeight="1">
      <c r="A23" s="18">
        <f>IF(IFERROR(INDEX(Playbook!G:G,MATCH("P"&amp;Settings!B3&amp;"-D"&amp;MID(B4,5,1)&amp;"-STR-2",Playbook!A:A,0)),"")="","","[B] "&amp;IFERROR(INDEX(Playbook!G:G,MATCH("P"&amp;Settings!B3&amp;"-D"&amp;MID(B4,5,1)&amp;"-STR-2",Playbook!A:A,0)),""))</f>
        <v/>
      </c>
      <c r="B23" s="19">
        <f>IFERROR("Target: "&amp;INDEX(Playbook!I:I,MATCH("P"&amp;Settings!B3&amp;"-D"&amp;MID(B4,5,1)&amp;"-STR-2",Playbook!A:A,0))&amp;"  |  "&amp;INDEX(Playbook!J:J,MATCH("P"&amp;Settings!B3&amp;"-D"&amp;MID(B4,5,1)&amp;"-STR-2",Playbook!A:A,0)),"")</f>
        <v/>
      </c>
      <c r="I23" s="20">
        <f>IFERROR("💡 "&amp;INDEX(Playbook!O:O,MATCH("P"&amp;Settings!B3&amp;"-D"&amp;MID(B4,5,1)&amp;"-STR-2",Playbook!A:A,0)),"")</f>
        <v/>
      </c>
    </row>
    <row r="24" ht="26" customHeight="1">
      <c r="A24" s="21" t="inlineStr">
        <is>
          <t>Set 1</t>
        </is>
      </c>
      <c r="B24" s="22" t="inlineStr"/>
      <c r="C24" s="22" t="inlineStr"/>
      <c r="D24" s="22" t="inlineStr"/>
      <c r="E24" s="22" t="inlineStr"/>
      <c r="F24" s="22" t="inlineStr"/>
      <c r="G24" s="22" t="inlineStr"/>
      <c r="H24" s="22" t="inlineStr"/>
      <c r="I24" s="22" t="inlineStr"/>
    </row>
    <row r="25" ht="26" customHeight="1">
      <c r="A25" s="21" t="inlineStr">
        <is>
          <t>Set 2</t>
        </is>
      </c>
      <c r="B25" s="22" t="inlineStr"/>
      <c r="C25" s="22" t="inlineStr"/>
      <c r="D25" s="22" t="inlineStr"/>
      <c r="E25" s="22" t="inlineStr"/>
      <c r="F25" s="22" t="inlineStr"/>
      <c r="G25" s="22" t="inlineStr"/>
      <c r="H25" s="22" t="inlineStr"/>
      <c r="I25" s="22" t="inlineStr"/>
    </row>
    <row r="26" ht="26" customHeight="1">
      <c r="A26" s="21" t="inlineStr">
        <is>
          <t>Set 3</t>
        </is>
      </c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  <c r="I26" s="22" t="inlineStr"/>
    </row>
    <row r="27" ht="26" customHeight="1">
      <c r="A27" s="21" t="inlineStr">
        <is>
          <t>Set 4</t>
        </is>
      </c>
      <c r="B27" s="22" t="inlineStr"/>
      <c r="C27" s="22" t="inlineStr"/>
      <c r="D27" s="22" t="inlineStr"/>
      <c r="E27" s="22" t="inlineStr"/>
      <c r="F27" s="22" t="inlineStr"/>
      <c r="G27" s="22" t="inlineStr"/>
      <c r="H27" s="22" t="inlineStr"/>
      <c r="I27" s="22" t="inlineStr"/>
    </row>
    <row r="28" ht="26" customHeight="1">
      <c r="A28" s="23">
        <f>IFERROR("⚡ PAP: "&amp;INDEX(Playbook!K:K,MATCH("P"&amp;Settings!B3&amp;"-D"&amp;MID(B4,5,1)&amp;"-STR-2",Playbook!A:A,0))&amp;"  ("&amp;INDEX(Playbook!L:L,MATCH("P"&amp;Settings!B3&amp;"-D"&amp;MID(B4,5,1)&amp;"-STR-2",Playbook!A:A,0))&amp;"×"&amp;INDEX(Playbook!M:M,MATCH("P"&amp;Settings!B3&amp;"-D"&amp;MID(B4,5,1)&amp;"-STR-2",Playbook!A:A,0))&amp;")","—")</f>
        <v/>
      </c>
      <c r="B28" s="24" t="b">
        <v>0</v>
      </c>
      <c r="C28" s="25" t="inlineStr">
        <is>
          <t>✓ PAP Done</t>
        </is>
      </c>
      <c r="D28" s="26" t="n"/>
      <c r="E28" s="26" t="n"/>
      <c r="F28" s="26" t="n"/>
      <c r="G28" s="26" t="n"/>
      <c r="H28" s="26" t="n"/>
      <c r="I28" s="26" t="n"/>
    </row>
    <row r="29" ht="28" customHeight="1">
      <c r="A29" s="18">
        <f>IF(IFERROR(INDEX(Playbook!G:G,MATCH("P"&amp;Settings!B3&amp;"-D"&amp;MID(B4,5,1)&amp;"-STR-3",Playbook!A:A,0)),"")="","","[C] "&amp;IFERROR(INDEX(Playbook!G:G,MATCH("P"&amp;Settings!B3&amp;"-D"&amp;MID(B4,5,1)&amp;"-STR-3",Playbook!A:A,0)),""))</f>
        <v/>
      </c>
      <c r="B29" s="19">
        <f>IFERROR("Target: "&amp;INDEX(Playbook!I:I,MATCH("P"&amp;Settings!B3&amp;"-D"&amp;MID(B4,5,1)&amp;"-STR-3",Playbook!A:A,0))&amp;"  |  "&amp;INDEX(Playbook!J:J,MATCH("P"&amp;Settings!B3&amp;"-D"&amp;MID(B4,5,1)&amp;"-STR-3",Playbook!A:A,0)),"")</f>
        <v/>
      </c>
      <c r="I29" s="20">
        <f>IFERROR("💡 "&amp;INDEX(Playbook!O:O,MATCH("P"&amp;Settings!B3&amp;"-D"&amp;MID(B4,5,1)&amp;"-STR-3",Playbook!A:A,0)),"")</f>
        <v/>
      </c>
    </row>
    <row r="30" ht="26" customHeight="1">
      <c r="A30" s="21" t="inlineStr">
        <is>
          <t>Set 1</t>
        </is>
      </c>
      <c r="B30" s="22" t="inlineStr"/>
      <c r="C30" s="22" t="inlineStr"/>
      <c r="D30" s="22" t="inlineStr"/>
      <c r="E30" s="22" t="inlineStr"/>
      <c r="F30" s="22" t="inlineStr"/>
      <c r="G30" s="22" t="inlineStr"/>
      <c r="H30" s="22" t="inlineStr"/>
      <c r="I30" s="22" t="inlineStr"/>
    </row>
    <row r="31" ht="26" customHeight="1">
      <c r="A31" s="21" t="inlineStr">
        <is>
          <t>Set 2</t>
        </is>
      </c>
      <c r="B31" s="22" t="inlineStr"/>
      <c r="C31" s="22" t="inlineStr"/>
      <c r="D31" s="22" t="inlineStr"/>
      <c r="E31" s="22" t="inlineStr"/>
      <c r="F31" s="22" t="inlineStr"/>
      <c r="G31" s="22" t="inlineStr"/>
      <c r="H31" s="22" t="inlineStr"/>
      <c r="I31" s="22" t="inlineStr"/>
    </row>
    <row r="32" ht="26" customHeight="1">
      <c r="A32" s="21" t="inlineStr">
        <is>
          <t>Set 3</t>
        </is>
      </c>
      <c r="B32" s="22" t="inlineStr"/>
      <c r="C32" s="22" t="inlineStr"/>
      <c r="D32" s="22" t="inlineStr"/>
      <c r="E32" s="22" t="inlineStr"/>
      <c r="F32" s="22" t="inlineStr"/>
      <c r="G32" s="22" t="inlineStr"/>
      <c r="H32" s="22" t="inlineStr"/>
      <c r="I32" s="22" t="inlineStr"/>
    </row>
    <row r="33" ht="26" customHeight="1">
      <c r="A33" s="21" t="inlineStr">
        <is>
          <t>Set 4</t>
        </is>
      </c>
      <c r="B33" s="22" t="inlineStr"/>
      <c r="C33" s="22" t="inlineStr"/>
      <c r="D33" s="22" t="inlineStr"/>
      <c r="E33" s="22" t="inlineStr"/>
      <c r="F33" s="22" t="inlineStr"/>
      <c r="G33" s="22" t="inlineStr"/>
      <c r="H33" s="22" t="inlineStr"/>
      <c r="I33" s="22" t="inlineStr"/>
    </row>
    <row r="34" ht="26" customHeight="1">
      <c r="A34" s="23">
        <f>IFERROR("⚡ PAP: "&amp;INDEX(Playbook!K:K,MATCH("P"&amp;Settings!B3&amp;"-D"&amp;MID(B4,5,1)&amp;"-STR-3",Playbook!A:A,0))&amp;"  ("&amp;INDEX(Playbook!L:L,MATCH("P"&amp;Settings!B3&amp;"-D"&amp;MID(B4,5,1)&amp;"-STR-3",Playbook!A:A,0))&amp;"×"&amp;INDEX(Playbook!M:M,MATCH("P"&amp;Settings!B3&amp;"-D"&amp;MID(B4,5,1)&amp;"-STR-3",Playbook!A:A,0))&amp;")","—")</f>
        <v/>
      </c>
      <c r="B34" s="24" t="b">
        <v>0</v>
      </c>
      <c r="C34" s="25" t="inlineStr">
        <is>
          <t>✓ PAP Done</t>
        </is>
      </c>
      <c r="D34" s="26" t="n"/>
      <c r="E34" s="26" t="n"/>
      <c r="F34" s="26" t="n"/>
      <c r="G34" s="26" t="n"/>
      <c r="H34" s="26" t="n"/>
      <c r="I34" s="26" t="n"/>
    </row>
    <row r="35" ht="28" customHeight="1">
      <c r="A35" s="18">
        <f>IF(IFERROR(INDEX(Playbook!G:G,MATCH("P"&amp;Settings!B3&amp;"-D"&amp;MID(B4,5,1)&amp;"-STR-4",Playbook!A:A,0)),"")="","","[D] "&amp;IFERROR(INDEX(Playbook!G:G,MATCH("P"&amp;Settings!B3&amp;"-D"&amp;MID(B4,5,1)&amp;"-STR-4",Playbook!A:A,0)),""))</f>
        <v/>
      </c>
      <c r="B35" s="19">
        <f>IFERROR("Target: "&amp;INDEX(Playbook!I:I,MATCH("P"&amp;Settings!B3&amp;"-D"&amp;MID(B4,5,1)&amp;"-STR-4",Playbook!A:A,0))&amp;"  |  "&amp;INDEX(Playbook!J:J,MATCH("P"&amp;Settings!B3&amp;"-D"&amp;MID(B4,5,1)&amp;"-STR-4",Playbook!A:A,0)),"")</f>
        <v/>
      </c>
      <c r="I35" s="20">
        <f>IFERROR("💡 "&amp;INDEX(Playbook!O:O,MATCH("P"&amp;Settings!B3&amp;"-D"&amp;MID(B4,5,1)&amp;"-STR-4",Playbook!A:A,0)),"")</f>
        <v/>
      </c>
    </row>
    <row r="36" ht="26" customHeight="1">
      <c r="A36" s="21" t="inlineStr">
        <is>
          <t>Set 1</t>
        </is>
      </c>
      <c r="B36" s="22" t="inlineStr"/>
      <c r="C36" s="22" t="inlineStr"/>
      <c r="D36" s="22" t="inlineStr"/>
      <c r="E36" s="22" t="inlineStr"/>
      <c r="F36" s="22" t="inlineStr"/>
      <c r="G36" s="22" t="inlineStr"/>
      <c r="H36" s="22" t="inlineStr"/>
      <c r="I36" s="22" t="inlineStr"/>
    </row>
    <row r="37" ht="26" customHeight="1">
      <c r="A37" s="21" t="inlineStr">
        <is>
          <t>Set 2</t>
        </is>
      </c>
      <c r="B37" s="22" t="inlineStr"/>
      <c r="C37" s="22" t="inlineStr"/>
      <c r="D37" s="22" t="inlineStr"/>
      <c r="E37" s="22" t="inlineStr"/>
      <c r="F37" s="22" t="inlineStr"/>
      <c r="G37" s="22" t="inlineStr"/>
      <c r="H37" s="22" t="inlineStr"/>
      <c r="I37" s="22" t="inlineStr"/>
    </row>
    <row r="38" ht="26" customHeight="1">
      <c r="A38" s="21" t="inlineStr">
        <is>
          <t>Set 3</t>
        </is>
      </c>
      <c r="B38" s="22" t="inlineStr"/>
      <c r="C38" s="22" t="inlineStr"/>
      <c r="D38" s="22" t="inlineStr"/>
      <c r="E38" s="22" t="inlineStr"/>
      <c r="F38" s="22" t="inlineStr"/>
      <c r="G38" s="22" t="inlineStr"/>
      <c r="H38" s="22" t="inlineStr"/>
      <c r="I38" s="22" t="inlineStr"/>
    </row>
    <row r="39" ht="26" customHeight="1">
      <c r="A39" s="21" t="inlineStr">
        <is>
          <t>Set 4</t>
        </is>
      </c>
      <c r="B39" s="22" t="inlineStr"/>
      <c r="C39" s="22" t="inlineStr"/>
      <c r="D39" s="22" t="inlineStr"/>
      <c r="E39" s="22" t="inlineStr"/>
      <c r="F39" s="22" t="inlineStr"/>
      <c r="G39" s="22" t="inlineStr"/>
      <c r="H39" s="22" t="inlineStr"/>
      <c r="I39" s="22" t="inlineStr"/>
    </row>
    <row r="40" ht="26" customHeight="1">
      <c r="A40" s="23">
        <f>IFERROR("⚡ PAP: "&amp;INDEX(Playbook!K:K,MATCH("P"&amp;Settings!B3&amp;"-D"&amp;MID(B4,5,1)&amp;"-STR-4",Playbook!A:A,0))&amp;"  ("&amp;INDEX(Playbook!L:L,MATCH("P"&amp;Settings!B3&amp;"-D"&amp;MID(B4,5,1)&amp;"-STR-4",Playbook!A:A,0))&amp;"×"&amp;INDEX(Playbook!M:M,MATCH("P"&amp;Settings!B3&amp;"-D"&amp;MID(B4,5,1)&amp;"-STR-4",Playbook!A:A,0))&amp;")","—")</f>
        <v/>
      </c>
      <c r="B40" s="24" t="b">
        <v>0</v>
      </c>
      <c r="C40" s="25" t="inlineStr">
        <is>
          <t>✓ PAP Done</t>
        </is>
      </c>
      <c r="D40" s="26" t="n"/>
      <c r="E40" s="26" t="n"/>
      <c r="F40" s="26" t="n"/>
      <c r="G40" s="26" t="n"/>
      <c r="H40" s="26" t="n"/>
      <c r="I40" s="26" t="n"/>
    </row>
    <row r="41" ht="4" customHeight="1">
      <c r="A41" s="3" t="n"/>
    </row>
    <row r="42" ht="26" customHeight="1">
      <c r="A42" s="17" t="inlineStr">
        <is>
          <t>🥊  VARGA BAG WORK</t>
        </is>
      </c>
    </row>
    <row r="43" ht="30" customHeight="1">
      <c r="A43" s="4" t="inlineStr">
        <is>
          <t>Target Rounds</t>
        </is>
      </c>
      <c r="B43" s="27">
        <f>IFERROR(INDEX(Playbook!I:I,MATCH("P"&amp;Settings!B3&amp;"-D"&amp;MID(B4,5,1)&amp;"-BAG-1",Playbook!A:A,0)),"—")</f>
        <v/>
      </c>
      <c r="F43" s="28" t="inlineStr">
        <is>
          <t>ROUNDS DONE:</t>
        </is>
      </c>
      <c r="G43" s="5" t="inlineStr"/>
      <c r="H43" s="29" t="n"/>
    </row>
    <row r="44" ht="45" customHeight="1">
      <c r="A44" s="4" t="inlineStr">
        <is>
          <t>Combo Focus</t>
        </is>
      </c>
      <c r="B44" s="30">
        <f>IFERROR(INDEX(Playbook!N:N,MATCH("P"&amp;Settings!B3&amp;"-D"&amp;MID(B4,5,1)&amp;"-BAG-1",Playbook!A:A,0)),"—")</f>
        <v/>
      </c>
    </row>
    <row r="45" ht="36" customHeight="1">
      <c r="A45" s="4" t="inlineStr">
        <is>
          <t>Coach Cue</t>
        </is>
      </c>
      <c r="B45" s="31">
        <f>IFERROR(INDEX(Playbook!O:O,MATCH("P"&amp;Settings!B3&amp;"-D"&amp;MID(B4,5,1)&amp;"-BAG-1",Playbook!A:A,0)),"—")</f>
        <v/>
      </c>
    </row>
    <row r="46" ht="36" customHeight="1">
      <c r="A46" s="4" t="inlineStr">
        <is>
          <t>Session Notes</t>
        </is>
      </c>
      <c r="B46" s="32" t="inlineStr"/>
    </row>
    <row r="47" ht="4" customHeight="1">
      <c r="A47" s="3" t="n"/>
    </row>
    <row r="48" ht="26" customHeight="1">
      <c r="A48" s="33" t="inlineStr">
        <is>
          <t>❄️  COOLDOWN  &amp;  STRETCH</t>
        </is>
      </c>
    </row>
    <row r="49" ht="22" customHeight="1">
      <c r="A49" s="11" t="inlineStr">
        <is>
          <t>Movement</t>
        </is>
      </c>
      <c r="B49" s="12" t="inlineStr">
        <is>
          <t>✓ Done</t>
        </is>
      </c>
      <c r="C49" s="11" t="inlineStr">
        <is>
          <t>Duration</t>
        </is>
      </c>
      <c r="D49" s="11" t="inlineStr">
        <is>
          <t>Note</t>
        </is>
      </c>
    </row>
    <row r="50" ht="28" customHeight="1">
      <c r="A50" s="13">
        <f>IFERROR(INDEX(Playbook!G:G,MATCH("P"&amp;Settings!B3&amp;"-D"&amp;MID(B4,5,1)&amp;"-CLR-1",Playbook!A:A,0)),"")</f>
        <v/>
      </c>
      <c r="B50" s="14" t="b">
        <v>0</v>
      </c>
      <c r="C50" s="15">
        <f>IFERROR(INDEX(Playbook!I:I,MATCH("P"&amp;Settings!B3&amp;"-D"&amp;MID(B4,5,1)&amp;"-CLR-1",Playbook!A:A,0)),"")</f>
        <v/>
      </c>
      <c r="D50" s="16">
        <f>IFERROR(INDEX(Playbook!J:J,MATCH("P"&amp;Settings!B3&amp;"-D"&amp;MID(B4,5,1)&amp;"-CLR-1",Playbook!A:A,0)),"")</f>
        <v/>
      </c>
    </row>
    <row r="51" ht="28" customHeight="1">
      <c r="A51" s="13">
        <f>IFERROR(INDEX(Playbook!G:G,MATCH("P"&amp;Settings!B3&amp;"-D"&amp;MID(B4,5,1)&amp;"-CLR-2",Playbook!A:A,0)),"")</f>
        <v/>
      </c>
      <c r="B51" s="14" t="b">
        <v>0</v>
      </c>
      <c r="C51" s="15">
        <f>IFERROR(INDEX(Playbook!I:I,MATCH("P"&amp;Settings!B3&amp;"-D"&amp;MID(B4,5,1)&amp;"-CLR-2",Playbook!A:A,0)),"")</f>
        <v/>
      </c>
      <c r="D51" s="16">
        <f>IFERROR(INDEX(Playbook!J:J,MATCH("P"&amp;Settings!B3&amp;"-D"&amp;MID(B4,5,1)&amp;"-CLR-2",Playbook!A:A,0)),"")</f>
        <v/>
      </c>
    </row>
    <row r="52" ht="28" customHeight="1">
      <c r="A52" s="13">
        <f>IFERROR(INDEX(Playbook!G:G,MATCH("P"&amp;Settings!B3&amp;"-D"&amp;MID(B4,5,1)&amp;"-CLR-3",Playbook!A:A,0)),"")</f>
        <v/>
      </c>
      <c r="B52" s="14" t="b">
        <v>0</v>
      </c>
      <c r="C52" s="15">
        <f>IFERROR(INDEX(Playbook!I:I,MATCH("P"&amp;Settings!B3&amp;"-D"&amp;MID(B4,5,1)&amp;"-CLR-3",Playbook!A:A,0)),"")</f>
        <v/>
      </c>
      <c r="D52" s="16">
        <f>IFERROR(INDEX(Playbook!J:J,MATCH("P"&amp;Settings!B3&amp;"-D"&amp;MID(B4,5,1)&amp;"-CLR-3",Playbook!A:A,0)),"")</f>
        <v/>
      </c>
    </row>
    <row r="53" ht="28" customHeight="1">
      <c r="A53" s="13">
        <f>IFERROR(INDEX(Playbook!G:G,MATCH("P"&amp;Settings!B3&amp;"-D"&amp;MID(B4,5,1)&amp;"-CLR-4",Playbook!A:A,0)),"")</f>
        <v/>
      </c>
      <c r="B53" s="14" t="b">
        <v>0</v>
      </c>
      <c r="C53" s="15">
        <f>IFERROR(INDEX(Playbook!I:I,MATCH("P"&amp;Settings!B3&amp;"-D"&amp;MID(B4,5,1)&amp;"-CLR-4",Playbook!A:A,0)),"")</f>
        <v/>
      </c>
      <c r="D53" s="16">
        <f>IFERROR(INDEX(Playbook!J:J,MATCH("P"&amp;Settings!B3&amp;"-D"&amp;MID(B4,5,1)&amp;"-CLR-4",Playbook!A:A,0)),"")</f>
        <v/>
      </c>
    </row>
    <row r="54" ht="28" customHeight="1">
      <c r="A54" s="13">
        <f>IFERROR(INDEX(Playbook!G:G,MATCH("P"&amp;Settings!B3&amp;"-D"&amp;MID(B4,5,1)&amp;"-CLR-5",Playbook!A:A,0)),"")</f>
        <v/>
      </c>
      <c r="B54" s="14" t="b">
        <v>0</v>
      </c>
      <c r="C54" s="15">
        <f>IFERROR(INDEX(Playbook!I:I,MATCH("P"&amp;Settings!B3&amp;"-D"&amp;MID(B4,5,1)&amp;"-CLR-5",Playbook!A:A,0)),"")</f>
        <v/>
      </c>
      <c r="D54" s="16">
        <f>IFERROR(INDEX(Playbook!J:J,MATCH("P"&amp;Settings!B3&amp;"-D"&amp;MID(B4,5,1)&amp;"-CLR-5",Playbook!A:A,0)),"")</f>
        <v/>
      </c>
    </row>
    <row r="55" ht="4" customHeight="1">
      <c r="A55" s="3" t="n"/>
    </row>
    <row r="56" ht="26" customHeight="1">
      <c r="A56" s="34" t="inlineStr">
        <is>
          <t>📊  SESSION COMPLETENESS</t>
        </is>
      </c>
    </row>
    <row r="57" ht="38" customHeight="1">
      <c r="A57" s="35" t="inlineStr">
        <is>
          <t>Completeness %</t>
        </is>
      </c>
      <c r="F57" s="36">
        <f>ROUND((COUNTIF(B9:B13,TRUE)+COUNTIF(B50:B54,TRUE)+COUNTA(B18:I40)/16*8+IF(ISNUMBER(G43),MIN(G43,6),0))/(10+8+6)*100,1)</f>
        <v/>
      </c>
    </row>
    <row r="58" ht="28" customHeight="1">
      <c r="A58" s="4" t="inlineStr">
        <is>
          <t>Hip Score Today</t>
        </is>
      </c>
      <c r="B58" s="37">
        <f>G4</f>
        <v/>
      </c>
      <c r="C58" s="38">
        <f>IF(G4&lt;=2,"🔴 HIGH ALERT — Hip mobilisation protocol is ACTIVE",IF(G4=3,"🟡 MODERATE — Monitor and log","🟢 GOOD — Full standard protocol"))</f>
        <v/>
      </c>
    </row>
    <row r="59" ht="4" customHeight="1">
      <c r="A59" s="3" t="n"/>
    </row>
    <row r="60" ht="44" customHeight="1">
      <c r="A60" s="39" t="inlineStr">
        <is>
          <t>▶  LOG SESSION</t>
        </is>
      </c>
      <c r="E60" s="40" t="n"/>
      <c r="F60" s="41" t="inlineStr">
        <is>
          <t>↺  RESET HUD</t>
        </is>
      </c>
    </row>
    <row r="61" ht="28" customHeight="1">
      <c r="A61" s="42" t="inlineStr">
        <is>
          <t>🔓  CHECK PHASE UNLOCK STATUS</t>
        </is>
      </c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</row>
    <row r="6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</row>
  </sheetData>
  <mergeCells count="43">
    <mergeCell ref="A7:I7"/>
    <mergeCell ref="D11:I11"/>
    <mergeCell ref="D49:I49"/>
    <mergeCell ref="A41:I41"/>
    <mergeCell ref="D13:I13"/>
    <mergeCell ref="H43:I43"/>
    <mergeCell ref="A56:I56"/>
    <mergeCell ref="A3:I3"/>
    <mergeCell ref="H4:I4"/>
    <mergeCell ref="B46:I46"/>
    <mergeCell ref="A55:I55"/>
    <mergeCell ref="D53:I53"/>
    <mergeCell ref="F60:I60"/>
    <mergeCell ref="A2:I2"/>
    <mergeCell ref="F57:I57"/>
    <mergeCell ref="A47:I47"/>
    <mergeCell ref="A5:I5"/>
    <mergeCell ref="B35:H35"/>
    <mergeCell ref="A42:I42"/>
    <mergeCell ref="A14:I14"/>
    <mergeCell ref="D9:I9"/>
    <mergeCell ref="D12:I12"/>
    <mergeCell ref="A60:D60"/>
    <mergeCell ref="D8:I8"/>
    <mergeCell ref="C58:I58"/>
    <mergeCell ref="B44:I44"/>
    <mergeCell ref="D51:I51"/>
    <mergeCell ref="A57:E57"/>
    <mergeCell ref="B43:E43"/>
    <mergeCell ref="D54:I54"/>
    <mergeCell ref="D50:I50"/>
    <mergeCell ref="A48:I48"/>
    <mergeCell ref="B23:H23"/>
    <mergeCell ref="A15:I15"/>
    <mergeCell ref="A59:I59"/>
    <mergeCell ref="D10:I10"/>
    <mergeCell ref="B17:H17"/>
    <mergeCell ref="A1:I1"/>
    <mergeCell ref="B29:H29"/>
    <mergeCell ref="A6:I6"/>
    <mergeCell ref="B45:I45"/>
    <mergeCell ref="A61:I61"/>
    <mergeCell ref="D52:I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2a4a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0" customWidth="1" min="3" max="3"/>
  </cols>
  <sheetData>
    <row r="1" ht="40" customHeight="1">
      <c r="A1" s="43" t="inlineStr">
        <is>
          <t>⚙️  FIGHTER'S OS — SETTINGS</t>
        </is>
      </c>
    </row>
    <row r="2">
      <c r="A2" s="44" t="inlineStr"/>
      <c r="B2" s="45" t="inlineStr"/>
      <c r="C2" s="46" t="inlineStr"/>
    </row>
    <row r="3">
      <c r="A3" s="4" t="inlineStr">
        <is>
          <t>CURRENT PHASE</t>
        </is>
      </c>
      <c r="B3" s="47" t="n">
        <v>1</v>
      </c>
      <c r="C3" s="46" t="inlineStr">
        <is>
          <t>← Change to 2 or 3 when unlocked</t>
        </is>
      </c>
    </row>
    <row r="4">
      <c r="A4" s="4" t="inlineStr">
        <is>
          <t>SESSIONS PER PHASE (threshold)</t>
        </is>
      </c>
      <c r="B4" s="45" t="n">
        <v>12</v>
      </c>
      <c r="C4" s="46" t="inlineStr">
        <is>
          <t>Phase 2 unlocks after 12 completed gym sessions</t>
        </is>
      </c>
    </row>
    <row r="5">
      <c r="A5" s="44" t="inlineStr"/>
      <c r="B5" s="45" t="inlineStr"/>
      <c r="C5" s="46" t="inlineStr"/>
    </row>
    <row r="6">
      <c r="A6" s="4" t="inlineStr">
        <is>
          <t>PHASE 1 GYM SESSIONS LOGGED</t>
        </is>
      </c>
      <c r="B6" s="45">
        <f>COUNTIFS(FightLog!C:C,1,FightLog!B:B,"&lt;&gt;2",FightLog!B:B,"&lt;&gt;4")</f>
        <v/>
      </c>
      <c r="C6" s="46" t="inlineStr">
        <is>
          <t>Auto-calculated</t>
        </is>
      </c>
    </row>
    <row r="7">
      <c r="A7" s="4" t="inlineStr">
        <is>
          <t>PHASE 2 GYM SESSIONS LOGGED</t>
        </is>
      </c>
      <c r="B7" s="45">
        <f>COUNTIFS(FightLog!C:C,2,FightLog!B:B,"&lt;&gt;2",FightLog!B:B,"&lt;&gt;4")</f>
        <v/>
      </c>
      <c r="C7" s="46" t="inlineStr">
        <is>
          <t>Auto-calculated</t>
        </is>
      </c>
    </row>
    <row r="8">
      <c r="A8" s="4" t="inlineStr">
        <is>
          <t>PHASE 3 GYM SESSIONS LOGGED</t>
        </is>
      </c>
      <c r="B8" s="45">
        <f>COUNTIFS(FightLog!C:C,3,FightLog!B:B,"&lt;&gt;2",FightLog!B:B,"&lt;&gt;4")</f>
        <v/>
      </c>
      <c r="C8" s="46" t="inlineStr">
        <is>
          <t>Auto-calculated</t>
        </is>
      </c>
    </row>
    <row r="9">
      <c r="A9" s="44" t="inlineStr"/>
      <c r="B9" s="45" t="inlineStr"/>
      <c r="C9" s="46" t="inlineStr"/>
    </row>
    <row r="10">
      <c r="A10" s="4" t="inlineStr">
        <is>
          <t>PHASE UNLOCK STATUS</t>
        </is>
      </c>
      <c r="B10" s="45">
        <f>IF(B6&gt;=B4,"PHASE "&amp;(B3+1)&amp;" UNLOCKED — Update phase above!","Sessions until Phase "&amp;(B3+1)&amp;": "&amp;(B4-B6))</f>
        <v/>
      </c>
      <c r="C10" s="46" t="inlineStr">
        <is>
          <t>Auto-updates</t>
        </is>
      </c>
    </row>
    <row r="11">
      <c r="A11" s="44" t="inlineStr"/>
      <c r="B11" s="45" t="inlineStr"/>
      <c r="C11" s="46" t="inlineStr"/>
    </row>
    <row r="12">
      <c r="A12" s="4" t="inlineStr">
        <is>
          <t>ATHLETE</t>
        </is>
      </c>
      <c r="B12" s="45" t="inlineStr">
        <is>
          <t>Fighter's OS User</t>
        </is>
      </c>
      <c r="C12" s="46" t="inlineStr">
        <is>
          <t>Edit your name</t>
        </is>
      </c>
    </row>
    <row r="13">
      <c r="A13" s="4" t="inlineStr">
        <is>
          <t>BRANCH</t>
        </is>
      </c>
      <c r="B13" s="45" t="inlineStr">
        <is>
          <t>FlyeFit Macken St.</t>
        </is>
      </c>
      <c r="C13" s="46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3d5c"/>
    <outlinePr summaryBelow="1" summaryRight="1"/>
    <pageSetUpPr/>
  </sheetPr>
  <dimension ref="A1:O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7" max="7"/>
    <col width="40" customWidth="1" min="14" max="14"/>
    <col width="40" customWidth="1" min="15" max="15"/>
  </cols>
  <sheetData>
    <row r="1">
      <c r="A1" s="48" t="inlineStr">
        <is>
          <t>Key</t>
        </is>
      </c>
      <c r="B1" s="48" t="inlineStr">
        <is>
          <t>Phase</t>
        </is>
      </c>
      <c r="C1" s="48" t="inlineStr">
        <is>
          <t>Day</t>
        </is>
      </c>
      <c r="D1" s="48" t="inlineStr">
        <is>
          <t>Block</t>
        </is>
      </c>
      <c r="E1" s="48" t="inlineStr">
        <is>
          <t>Slot</t>
        </is>
      </c>
      <c r="F1" s="48" t="inlineStr">
        <is>
          <t>Variant</t>
        </is>
      </c>
      <c r="G1" s="48" t="inlineStr">
        <is>
          <t>Exercise</t>
        </is>
      </c>
      <c r="H1" s="48" t="inlineStr">
        <is>
          <t>Sets</t>
        </is>
      </c>
      <c r="I1" s="48" t="inlineStr">
        <is>
          <t>Target_Reps</t>
        </is>
      </c>
      <c r="J1" s="48" t="inlineStr">
        <is>
          <t>Load_Note</t>
        </is>
      </c>
      <c r="K1" s="48" t="inlineStr">
        <is>
          <t>PAP_Exercise</t>
        </is>
      </c>
      <c r="L1" s="48" t="inlineStr">
        <is>
          <t>PAP_Sets</t>
        </is>
      </c>
      <c r="M1" s="48" t="inlineStr">
        <is>
          <t>PAP_Reps</t>
        </is>
      </c>
      <c r="N1" s="48" t="inlineStr">
        <is>
          <t>Combo_Focus</t>
        </is>
      </c>
      <c r="O1" s="48" t="inlineStr">
        <is>
          <t>Cue</t>
        </is>
      </c>
    </row>
    <row r="2">
      <c r="A2" s="30" t="inlineStr">
        <is>
          <t>P1-D1-MOB-1-STD</t>
        </is>
      </c>
      <c r="B2" s="30" t="inlineStr">
        <is>
          <t>1</t>
        </is>
      </c>
      <c r="C2" s="30" t="inlineStr">
        <is>
          <t>1</t>
        </is>
      </c>
      <c r="D2" s="30" t="inlineStr">
        <is>
          <t>MOBILITY</t>
        </is>
      </c>
      <c r="E2" s="30" t="inlineStr">
        <is>
          <t>1</t>
        </is>
      </c>
      <c r="F2" s="30" t="inlineStr">
        <is>
          <t>STANDARD</t>
        </is>
      </c>
      <c r="G2" s="30" t="inlineStr">
        <is>
          <t>90/90 Hip Internal/External Rotation</t>
        </is>
      </c>
      <c r="H2" s="30" t="inlineStr"/>
      <c r="I2" s="30" t="inlineStr">
        <is>
          <t>2x60s each side</t>
        </is>
      </c>
      <c r="J2" s="30" t="inlineStr">
        <is>
          <t>RIGHT side priority</t>
        </is>
      </c>
      <c r="K2" s="30" t="inlineStr"/>
      <c r="L2" s="30" t="inlineStr"/>
      <c r="M2" s="30" t="inlineStr"/>
      <c r="N2" s="30" t="inlineStr"/>
      <c r="O2" s="30" t="inlineStr">
        <is>
          <t>Breathe into the position, find end range</t>
        </is>
      </c>
    </row>
    <row r="3">
      <c r="A3" s="49" t="inlineStr">
        <is>
          <t>P1-D1-MOB-2-STD</t>
        </is>
      </c>
      <c r="B3" s="49" t="inlineStr">
        <is>
          <t>1</t>
        </is>
      </c>
      <c r="C3" s="49" t="inlineStr">
        <is>
          <t>1</t>
        </is>
      </c>
      <c r="D3" s="49" t="inlineStr">
        <is>
          <t>MOBILITY</t>
        </is>
      </c>
      <c r="E3" s="49" t="inlineStr">
        <is>
          <t>2</t>
        </is>
      </c>
      <c r="F3" s="49" t="inlineStr">
        <is>
          <t>STANDARD</t>
        </is>
      </c>
      <c r="G3" s="49" t="inlineStr">
        <is>
          <t>Supine Figure-4 Piriformis</t>
        </is>
      </c>
      <c r="H3" s="49" t="inlineStr"/>
      <c r="I3" s="49" t="inlineStr">
        <is>
          <t>2x45s each side</t>
        </is>
      </c>
      <c r="J3" s="49" t="inlineStr">
        <is>
          <t>Feel the outer hip</t>
        </is>
      </c>
      <c r="K3" s="49" t="inlineStr"/>
      <c r="L3" s="49" t="inlineStr"/>
      <c r="M3" s="49" t="inlineStr"/>
      <c r="N3" s="49" t="inlineStr"/>
      <c r="O3" s="49" t="inlineStr">
        <is>
          <t>Cross ankle over knee, flex foot, gentle pressure</t>
        </is>
      </c>
    </row>
    <row r="4">
      <c r="A4" s="30" t="inlineStr">
        <is>
          <t>P1-D1-MOB-3-STD</t>
        </is>
      </c>
      <c r="B4" s="30" t="inlineStr">
        <is>
          <t>1</t>
        </is>
      </c>
      <c r="C4" s="30" t="inlineStr">
        <is>
          <t>1</t>
        </is>
      </c>
      <c r="D4" s="30" t="inlineStr">
        <is>
          <t>MOBILITY</t>
        </is>
      </c>
      <c r="E4" s="30" t="inlineStr">
        <is>
          <t>3</t>
        </is>
      </c>
      <c r="F4" s="30" t="inlineStr">
        <is>
          <t>STANDARD</t>
        </is>
      </c>
      <c r="G4" s="30" t="inlineStr">
        <is>
          <t>Half-Kneeling Hip Flexor + PPT</t>
        </is>
      </c>
      <c r="H4" s="30" t="inlineStr"/>
      <c r="I4" s="30" t="inlineStr">
        <is>
          <t>2x45s each side</t>
        </is>
      </c>
      <c r="J4" s="30" t="inlineStr">
        <is>
          <t>RIGHT side priority</t>
        </is>
      </c>
      <c r="K4" s="30" t="inlineStr"/>
      <c r="L4" s="30" t="inlineStr"/>
      <c r="M4" s="30" t="inlineStr"/>
      <c r="N4" s="30" t="inlineStr"/>
      <c r="O4" s="30" t="inlineStr">
        <is>
          <t>Squeeze glute, tuck pelvis — actively stretch psoas</t>
        </is>
      </c>
    </row>
    <row r="5">
      <c r="A5" s="49" t="inlineStr">
        <is>
          <t>P1-D1-MOB-1-HA</t>
        </is>
      </c>
      <c r="B5" s="49" t="inlineStr">
        <is>
          <t>1</t>
        </is>
      </c>
      <c r="C5" s="49" t="inlineStr">
        <is>
          <t>1</t>
        </is>
      </c>
      <c r="D5" s="49" t="inlineStr">
        <is>
          <t>MOBILITY</t>
        </is>
      </c>
      <c r="E5" s="49" t="inlineStr">
        <is>
          <t>1</t>
        </is>
      </c>
      <c r="F5" s="49" t="inlineStr">
        <is>
          <t>HIGH_ALERT</t>
        </is>
      </c>
      <c r="G5" s="49" t="inlineStr">
        <is>
          <t>Supine Knee Circles (Easy)</t>
        </is>
      </c>
      <c r="H5" s="49" t="inlineStr"/>
      <c r="I5" s="49" t="inlineStr">
        <is>
          <t>2x10 each direction</t>
        </is>
      </c>
      <c r="J5" s="49" t="inlineStr">
        <is>
          <t>Gentle joint warm-up</t>
        </is>
      </c>
      <c r="K5" s="49" t="inlineStr"/>
      <c r="L5" s="49" t="inlineStr"/>
      <c r="M5" s="49" t="inlineStr"/>
      <c r="N5" s="49" t="inlineStr"/>
      <c r="O5" s="49" t="inlineStr">
        <is>
          <t>Slow easy circles to warm the joint only</t>
        </is>
      </c>
    </row>
    <row r="6">
      <c r="A6" s="30" t="inlineStr">
        <is>
          <t>P1-D1-MOB-2-HA</t>
        </is>
      </c>
      <c r="B6" s="30" t="inlineStr">
        <is>
          <t>1</t>
        </is>
      </c>
      <c r="C6" s="30" t="inlineStr">
        <is>
          <t>1</t>
        </is>
      </c>
      <c r="D6" s="30" t="inlineStr">
        <is>
          <t>MOBILITY</t>
        </is>
      </c>
      <c r="E6" s="30" t="inlineStr">
        <is>
          <t>2</t>
        </is>
      </c>
      <c r="F6" s="30" t="inlineStr">
        <is>
          <t>HIGH_ALERT</t>
        </is>
      </c>
      <c r="G6" s="30" t="inlineStr">
        <is>
          <t>Lying Windshield Wiper</t>
        </is>
      </c>
      <c r="H6" s="30" t="inlineStr"/>
      <c r="I6" s="30" t="inlineStr">
        <is>
          <t>2x60s</t>
        </is>
      </c>
      <c r="J6" s="30" t="inlineStr">
        <is>
          <t>Both legs slow</t>
        </is>
      </c>
      <c r="K6" s="30" t="inlineStr"/>
      <c r="L6" s="30" t="inlineStr"/>
      <c r="M6" s="30" t="inlineStr"/>
      <c r="N6" s="30" t="inlineStr"/>
      <c r="O6" s="30" t="inlineStr">
        <is>
          <t>Feet flat, let knees fall side to side</t>
        </is>
      </c>
    </row>
    <row r="7">
      <c r="A7" s="49" t="inlineStr">
        <is>
          <t>P1-D1-MOB-3-HA</t>
        </is>
      </c>
      <c r="B7" s="49" t="inlineStr">
        <is>
          <t>1</t>
        </is>
      </c>
      <c r="C7" s="49" t="inlineStr">
        <is>
          <t>1</t>
        </is>
      </c>
      <c r="D7" s="49" t="inlineStr">
        <is>
          <t>MOBILITY</t>
        </is>
      </c>
      <c r="E7" s="49" t="inlineStr">
        <is>
          <t>3</t>
        </is>
      </c>
      <c r="F7" s="49" t="inlineStr">
        <is>
          <t>HIGH_ALERT</t>
        </is>
      </c>
      <c r="G7" s="49" t="inlineStr">
        <is>
          <t>Adductor Longus Pin &amp; Stretch</t>
        </is>
      </c>
      <c r="H7" s="49" t="inlineStr"/>
      <c r="I7" s="49" t="inlineStr">
        <is>
          <t>2x60s each side</t>
        </is>
      </c>
      <c r="J7" s="49" t="inlineStr">
        <is>
          <t>Find the tightest point</t>
        </is>
      </c>
      <c r="K7" s="49" t="inlineStr"/>
      <c r="L7" s="49" t="inlineStr"/>
      <c r="M7" s="49" t="inlineStr"/>
      <c r="N7" s="49" t="inlineStr"/>
      <c r="O7" s="49" t="inlineStr">
        <is>
          <t>Thumb pressure into inner thigh while stretching</t>
        </is>
      </c>
    </row>
    <row r="8">
      <c r="A8" s="30" t="inlineStr">
        <is>
          <t>P1-D1-MOB-4-HA</t>
        </is>
      </c>
      <c r="B8" s="30" t="inlineStr">
        <is>
          <t>1</t>
        </is>
      </c>
      <c r="C8" s="30" t="inlineStr">
        <is>
          <t>1</t>
        </is>
      </c>
      <c r="D8" s="30" t="inlineStr">
        <is>
          <t>MOBILITY</t>
        </is>
      </c>
      <c r="E8" s="30" t="inlineStr">
        <is>
          <t>4</t>
        </is>
      </c>
      <c r="F8" s="30" t="inlineStr">
        <is>
          <t>HIGH_ALERT</t>
        </is>
      </c>
      <c r="G8" s="30" t="inlineStr">
        <is>
          <t>Supine Band Psoas Floss</t>
        </is>
      </c>
      <c r="H8" s="30" t="inlineStr"/>
      <c r="I8" s="30" t="inlineStr">
        <is>
          <t>2x45s each side</t>
        </is>
      </c>
      <c r="J8" s="30" t="inlineStr">
        <is>
          <t>Gentle traction only</t>
        </is>
      </c>
      <c r="K8" s="30" t="inlineStr"/>
      <c r="L8" s="30" t="inlineStr"/>
      <c r="M8" s="30" t="inlineStr"/>
      <c r="N8" s="30" t="inlineStr"/>
      <c r="O8" s="30" t="inlineStr">
        <is>
          <t>Band around proximal thigh, pull knee to chest gently</t>
        </is>
      </c>
    </row>
    <row r="9">
      <c r="A9" s="49" t="inlineStr">
        <is>
          <t>P1-D1-MOB-5-HA</t>
        </is>
      </c>
      <c r="B9" s="49" t="inlineStr">
        <is>
          <t>1</t>
        </is>
      </c>
      <c r="C9" s="49" t="inlineStr">
        <is>
          <t>1</t>
        </is>
      </c>
      <c r="D9" s="49" t="inlineStr">
        <is>
          <t>MOBILITY</t>
        </is>
      </c>
      <c r="E9" s="49" t="inlineStr">
        <is>
          <t>5</t>
        </is>
      </c>
      <c r="F9" s="49" t="inlineStr">
        <is>
          <t>HIGH_ALERT</t>
        </is>
      </c>
      <c r="G9" s="49" t="inlineStr">
        <is>
          <t>Hip Joint Distraction (Band)</t>
        </is>
      </c>
      <c r="H9" s="49" t="inlineStr"/>
      <c r="I9" s="49" t="inlineStr">
        <is>
          <t>2x60s each side</t>
        </is>
      </c>
      <c r="J9" s="49" t="inlineStr">
        <is>
          <t>RIGHT side first</t>
        </is>
      </c>
      <c r="K9" s="49" t="inlineStr"/>
      <c r="L9" s="49" t="inlineStr"/>
      <c r="M9" s="49" t="inlineStr"/>
      <c r="N9" s="49" t="inlineStr"/>
      <c r="O9" s="49" t="inlineStr">
        <is>
          <t>Band at groin crease, step away for traction</t>
        </is>
      </c>
    </row>
    <row r="10">
      <c r="A10" s="30" t="inlineStr">
        <is>
          <t>P1-D1-STR-1</t>
        </is>
      </c>
      <c r="B10" s="30" t="inlineStr">
        <is>
          <t>1</t>
        </is>
      </c>
      <c r="C10" s="30" t="inlineStr">
        <is>
          <t>1</t>
        </is>
      </c>
      <c r="D10" s="30" t="inlineStr">
        <is>
          <t>STRENGTH</t>
        </is>
      </c>
      <c r="E10" s="30" t="inlineStr">
        <is>
          <t>1</t>
        </is>
      </c>
      <c r="F10" s="30" t="inlineStr">
        <is>
          <t>STANDARD</t>
        </is>
      </c>
      <c r="G10" s="30" t="inlineStr">
        <is>
          <t>Barbell Back Squat</t>
        </is>
      </c>
      <c r="H10" s="30" t="inlineStr">
        <is>
          <t>4</t>
        </is>
      </c>
      <c r="I10" s="30" t="inlineStr">
        <is>
          <t>4-5 reps</t>
        </is>
      </c>
      <c r="J10" s="30" t="inlineStr">
        <is>
          <t>80% 1RM</t>
        </is>
      </c>
      <c r="K10" s="30" t="inlineStr">
        <is>
          <t>Box Jump</t>
        </is>
      </c>
      <c r="L10" s="30" t="inlineStr">
        <is>
          <t>4</t>
        </is>
      </c>
      <c r="M10" s="30" t="inlineStr">
        <is>
          <t>3</t>
        </is>
      </c>
      <c r="N10" s="30" t="inlineStr"/>
      <c r="O10" s="30" t="inlineStr">
        <is>
          <t>Controlled 3s descent, drive through heels, full depth</t>
        </is>
      </c>
    </row>
    <row r="11">
      <c r="A11" s="49" t="inlineStr">
        <is>
          <t>P1-D1-STR-2</t>
        </is>
      </c>
      <c r="B11" s="49" t="inlineStr">
        <is>
          <t>1</t>
        </is>
      </c>
      <c r="C11" s="49" t="inlineStr">
        <is>
          <t>1</t>
        </is>
      </c>
      <c r="D11" s="49" t="inlineStr">
        <is>
          <t>STRENGTH</t>
        </is>
      </c>
      <c r="E11" s="49" t="inlineStr">
        <is>
          <t>2</t>
        </is>
      </c>
      <c r="F11" s="49" t="inlineStr">
        <is>
          <t>STANDARD</t>
        </is>
      </c>
      <c r="G11" s="49" t="inlineStr">
        <is>
          <t>Romanian Deadlift</t>
        </is>
      </c>
      <c r="H11" s="49" t="inlineStr">
        <is>
          <t>3</t>
        </is>
      </c>
      <c r="I11" s="49" t="inlineStr">
        <is>
          <t>8 reps</t>
        </is>
      </c>
      <c r="J11" s="49" t="inlineStr">
        <is>
          <t>Moderate — feel the hamstring</t>
        </is>
      </c>
      <c r="K11" s="49" t="inlineStr">
        <is>
          <t>Broad Jump</t>
        </is>
      </c>
      <c r="L11" s="49" t="inlineStr">
        <is>
          <t>3</t>
        </is>
      </c>
      <c r="M11" s="49" t="inlineStr">
        <is>
          <t>3</t>
        </is>
      </c>
      <c r="N11" s="49" t="inlineStr"/>
      <c r="O11" s="49" t="inlineStr">
        <is>
          <t>Neutral spine, hip hinge, stretch at bottom</t>
        </is>
      </c>
    </row>
    <row r="12">
      <c r="A12" s="30" t="inlineStr">
        <is>
          <t>P1-D1-STR-3</t>
        </is>
      </c>
      <c r="B12" s="30" t="inlineStr">
        <is>
          <t>1</t>
        </is>
      </c>
      <c r="C12" s="30" t="inlineStr">
        <is>
          <t>1</t>
        </is>
      </c>
      <c r="D12" s="30" t="inlineStr">
        <is>
          <t>STRENGTH</t>
        </is>
      </c>
      <c r="E12" s="30" t="inlineStr">
        <is>
          <t>3</t>
        </is>
      </c>
      <c r="F12" s="30" t="inlineStr">
        <is>
          <t>STANDARD</t>
        </is>
      </c>
      <c r="G12" s="30" t="inlineStr">
        <is>
          <t>Barbell Hip Thrust</t>
        </is>
      </c>
      <c r="H12" s="30" t="inlineStr">
        <is>
          <t>3</t>
        </is>
      </c>
      <c r="I12" s="30" t="inlineStr">
        <is>
          <t>10 reps</t>
        </is>
      </c>
      <c r="J12" s="30" t="inlineStr">
        <is>
          <t>Full glute squeeze 2s hold</t>
        </is>
      </c>
      <c r="K12" s="30" t="inlineStr"/>
      <c r="L12" s="30" t="inlineStr"/>
      <c r="M12" s="30" t="inlineStr"/>
      <c r="N12" s="30" t="inlineStr"/>
      <c r="O12" s="30" t="inlineStr"/>
    </row>
    <row r="13">
      <c r="A13" s="49" t="inlineStr">
        <is>
          <t>P1-D1-BAG-1</t>
        </is>
      </c>
      <c r="B13" s="49" t="inlineStr">
        <is>
          <t>1</t>
        </is>
      </c>
      <c r="C13" s="49" t="inlineStr">
        <is>
          <t>1</t>
        </is>
      </c>
      <c r="D13" s="49" t="inlineStr">
        <is>
          <t>BAG</t>
        </is>
      </c>
      <c r="E13" s="49" t="inlineStr">
        <is>
          <t>1</t>
        </is>
      </c>
      <c r="F13" s="49" t="inlineStr">
        <is>
          <t>STANDARD</t>
        </is>
      </c>
      <c r="G13" s="49" t="inlineStr">
        <is>
          <t>Bag Work — Jab-Cross Foundation</t>
        </is>
      </c>
      <c r="H13" s="49" t="inlineStr">
        <is>
          <t>6</t>
        </is>
      </c>
      <c r="I13" s="49" t="inlineStr">
        <is>
          <t>3 min rounds</t>
        </is>
      </c>
      <c r="J13" s="49" t="inlineStr">
        <is>
          <t>60s rest between rounds</t>
        </is>
      </c>
      <c r="K13" s="49" t="inlineStr"/>
      <c r="L13" s="49" t="inlineStr"/>
      <c r="M13" s="49" t="inlineStr"/>
      <c r="N13" s="49" t="inlineStr">
        <is>
          <t>R1: Technical Jab-Cross | R2: Jab-Cross-Hook | R3: Double Jab-Cross | R4: + Step Out | R5: Speed Round | R6: Power Round</t>
        </is>
      </c>
      <c r="O13" s="49" t="inlineStr">
        <is>
          <t>Stay loose. Snap the jab, rotate the hip into the cross.</t>
        </is>
      </c>
    </row>
    <row r="14">
      <c r="A14" s="30" t="inlineStr">
        <is>
          <t>P1-D1-CLR-1</t>
        </is>
      </c>
      <c r="B14" s="30" t="inlineStr">
        <is>
          <t>1</t>
        </is>
      </c>
      <c r="C14" s="30" t="inlineStr">
        <is>
          <t>1</t>
        </is>
      </c>
      <c r="D14" s="30" t="inlineStr">
        <is>
          <t>COOLDOWN</t>
        </is>
      </c>
      <c r="E14" s="30" t="inlineStr">
        <is>
          <t>1</t>
        </is>
      </c>
      <c r="F14" s="30" t="inlineStr">
        <is>
          <t>STANDARD</t>
        </is>
      </c>
      <c r="G14" s="30" t="inlineStr">
        <is>
          <t>Pigeon Pose (Deep)</t>
        </is>
      </c>
      <c r="H14" s="30" t="inlineStr">
        <is>
          <t>3</t>
        </is>
      </c>
      <c r="I14" s="30" t="inlineStr">
        <is>
          <t>90s each side</t>
        </is>
      </c>
      <c r="J14" s="30" t="inlineStr">
        <is>
          <t>RIGHT hip: 3 sets. LEFT: 2 sets</t>
        </is>
      </c>
      <c r="K14" s="30" t="inlineStr"/>
      <c r="L14" s="30" t="inlineStr"/>
      <c r="M14" s="30" t="inlineStr"/>
      <c r="N14" s="30" t="inlineStr"/>
      <c r="O14" s="30" t="inlineStr">
        <is>
          <t>Breathe deep, melt into the floor — this is your most important stretch</t>
        </is>
      </c>
    </row>
    <row r="15">
      <c r="A15" s="49" t="inlineStr">
        <is>
          <t>P1-D1-CLR-2</t>
        </is>
      </c>
      <c r="B15" s="49" t="inlineStr">
        <is>
          <t>1</t>
        </is>
      </c>
      <c r="C15" s="49" t="inlineStr">
        <is>
          <t>1</t>
        </is>
      </c>
      <c r="D15" s="49" t="inlineStr">
        <is>
          <t>COOLDOWN</t>
        </is>
      </c>
      <c r="E15" s="49" t="inlineStr">
        <is>
          <t>2</t>
        </is>
      </c>
      <c r="F15" s="49" t="inlineStr">
        <is>
          <t>STANDARD</t>
        </is>
      </c>
      <c r="G15" s="49" t="inlineStr">
        <is>
          <t>Couch Stretch (Psoas/Quad)</t>
        </is>
      </c>
      <c r="H15" s="49" t="inlineStr">
        <is>
          <t>2</t>
        </is>
      </c>
      <c r="I15" s="49" t="inlineStr">
        <is>
          <t>60s each side</t>
        </is>
      </c>
      <c r="J15" s="49" t="inlineStr">
        <is>
          <t>RIGHT side priority</t>
        </is>
      </c>
      <c r="K15" s="49" t="inlineStr"/>
      <c r="L15" s="49" t="inlineStr"/>
      <c r="M15" s="49" t="inlineStr"/>
      <c r="N15" s="49" t="inlineStr"/>
      <c r="O15" s="49" t="inlineStr">
        <is>
          <t>Posterior pelvic tilt throughout — actively stretch the psoas</t>
        </is>
      </c>
    </row>
    <row r="16">
      <c r="A16" s="30" t="inlineStr">
        <is>
          <t>P1-D1-CLR-3</t>
        </is>
      </c>
      <c r="B16" s="30" t="inlineStr">
        <is>
          <t>1</t>
        </is>
      </c>
      <c r="C16" s="30" t="inlineStr">
        <is>
          <t>1</t>
        </is>
      </c>
      <c r="D16" s="30" t="inlineStr">
        <is>
          <t>COOLDOWN</t>
        </is>
      </c>
      <c r="E16" s="30" t="inlineStr">
        <is>
          <t>3</t>
        </is>
      </c>
      <c r="F16" s="30" t="inlineStr">
        <is>
          <t>STANDARD</t>
        </is>
      </c>
      <c r="G16" s="30" t="inlineStr">
        <is>
          <t>Butterfly Adductor Stretch</t>
        </is>
      </c>
      <c r="H16" s="30" t="inlineStr">
        <is>
          <t>2</t>
        </is>
      </c>
      <c r="I16" s="30" t="inlineStr">
        <is>
          <t>60s</t>
        </is>
      </c>
      <c r="J16" s="30" t="inlineStr">
        <is>
          <t>Lean forward — feel groin</t>
        </is>
      </c>
      <c r="K16" s="30" t="inlineStr"/>
      <c r="L16" s="30" t="inlineStr"/>
      <c r="M16" s="30" t="inlineStr"/>
      <c r="N16" s="30" t="inlineStr"/>
      <c r="O16" s="30" t="inlineStr"/>
    </row>
    <row r="17">
      <c r="A17" s="49" t="inlineStr">
        <is>
          <t>P1-D1-CLR-4</t>
        </is>
      </c>
      <c r="B17" s="49" t="inlineStr">
        <is>
          <t>1</t>
        </is>
      </c>
      <c r="C17" s="49" t="inlineStr">
        <is>
          <t>1</t>
        </is>
      </c>
      <c r="D17" s="49" t="inlineStr">
        <is>
          <t>COOLDOWN</t>
        </is>
      </c>
      <c r="E17" s="49" t="inlineStr">
        <is>
          <t>4</t>
        </is>
      </c>
      <c r="F17" s="49" t="inlineStr">
        <is>
          <t>STANDARD</t>
        </is>
      </c>
      <c r="G17" s="49" t="inlineStr">
        <is>
          <t>QL Side Bend (Standing)</t>
        </is>
      </c>
      <c r="H17" s="49" t="inlineStr">
        <is>
          <t>2</t>
        </is>
      </c>
      <c r="I17" s="49" t="inlineStr">
        <is>
          <t>45s each side</t>
        </is>
      </c>
      <c r="J17" s="49" t="inlineStr">
        <is>
          <t>Feel the lateral chain</t>
        </is>
      </c>
      <c r="K17" s="49" t="inlineStr"/>
      <c r="L17" s="49" t="inlineStr"/>
      <c r="M17" s="49" t="inlineStr"/>
      <c r="N17" s="49" t="inlineStr"/>
      <c r="O17" s="49" t="inlineStr"/>
    </row>
    <row r="18">
      <c r="A18" s="30" t="inlineStr">
        <is>
          <t>P1-D3-MOB-1-STD</t>
        </is>
      </c>
      <c r="B18" s="30" t="inlineStr">
        <is>
          <t>1</t>
        </is>
      </c>
      <c r="C18" s="30" t="inlineStr">
        <is>
          <t>3</t>
        </is>
      </c>
      <c r="D18" s="30" t="inlineStr">
        <is>
          <t>MOBILITY</t>
        </is>
      </c>
      <c r="E18" s="30" t="inlineStr">
        <is>
          <t>1</t>
        </is>
      </c>
      <c r="F18" s="30" t="inlineStr">
        <is>
          <t>STANDARD</t>
        </is>
      </c>
      <c r="G18" s="30" t="inlineStr">
        <is>
          <t>Thoracic Rotation with Band</t>
        </is>
      </c>
      <c r="H18" s="30" t="inlineStr">
        <is>
          <t>2</t>
        </is>
      </c>
      <c r="I18" s="30" t="inlineStr">
        <is>
          <t>10 each side</t>
        </is>
      </c>
      <c r="J18" s="30" t="inlineStr">
        <is>
          <t>Full rotation — chin over shoulder</t>
        </is>
      </c>
      <c r="K18" s="30" t="inlineStr"/>
      <c r="L18" s="30" t="inlineStr"/>
      <c r="M18" s="30" t="inlineStr"/>
      <c r="N18" s="30" t="inlineStr"/>
      <c r="O18" s="30" t="inlineStr">
        <is>
          <t>Anchor band, rotate fully, hold 1s at end range</t>
        </is>
      </c>
    </row>
    <row r="19">
      <c r="A19" s="49" t="inlineStr">
        <is>
          <t>P1-D3-MOB-2-STD</t>
        </is>
      </c>
      <c r="B19" s="49" t="inlineStr">
        <is>
          <t>1</t>
        </is>
      </c>
      <c r="C19" s="49" t="inlineStr">
        <is>
          <t>3</t>
        </is>
      </c>
      <c r="D19" s="49" t="inlineStr">
        <is>
          <t>MOBILITY</t>
        </is>
      </c>
      <c r="E19" s="49" t="inlineStr">
        <is>
          <t>2</t>
        </is>
      </c>
      <c r="F19" s="49" t="inlineStr">
        <is>
          <t>STANDARD</t>
        </is>
      </c>
      <c r="G19" s="49" t="inlineStr">
        <is>
          <t>World's Greatest Stretch</t>
        </is>
      </c>
      <c r="H19" s="49" t="inlineStr">
        <is>
          <t>1</t>
        </is>
      </c>
      <c r="I19" s="49" t="inlineStr">
        <is>
          <t>5 each side</t>
        </is>
      </c>
      <c r="J19" s="49" t="inlineStr">
        <is>
          <t>Slow and controlled</t>
        </is>
      </c>
      <c r="K19" s="49" t="inlineStr"/>
      <c r="L19" s="49" t="inlineStr"/>
      <c r="M19" s="49" t="inlineStr"/>
      <c r="N19" s="49" t="inlineStr"/>
      <c r="O19" s="49" t="inlineStr">
        <is>
          <t>Lunge + elbow to floor + thoracic rotation in one fluid move</t>
        </is>
      </c>
    </row>
    <row r="20">
      <c r="A20" s="30" t="inlineStr">
        <is>
          <t>P1-D3-MOB-3-STD</t>
        </is>
      </c>
      <c r="B20" s="30" t="inlineStr">
        <is>
          <t>1</t>
        </is>
      </c>
      <c r="C20" s="30" t="inlineStr">
        <is>
          <t>3</t>
        </is>
      </c>
      <c r="D20" s="30" t="inlineStr">
        <is>
          <t>MOBILITY</t>
        </is>
      </c>
      <c r="E20" s="30" t="inlineStr">
        <is>
          <t>3</t>
        </is>
      </c>
      <c r="F20" s="30" t="inlineStr">
        <is>
          <t>STANDARD</t>
        </is>
      </c>
      <c r="G20" s="30" t="inlineStr">
        <is>
          <t>Active Hip Flexor Reach</t>
        </is>
      </c>
      <c r="H20" s="30" t="inlineStr">
        <is>
          <t>2</t>
        </is>
      </c>
      <c r="I20" s="30" t="inlineStr">
        <is>
          <t>45s each side</t>
        </is>
      </c>
      <c r="J20" s="30" t="inlineStr">
        <is>
          <t>Stretch hip flexor while reaching overhead</t>
        </is>
      </c>
      <c r="K20" s="30" t="inlineStr"/>
      <c r="L20" s="30" t="inlineStr"/>
      <c r="M20" s="30" t="inlineStr"/>
      <c r="N20" s="30" t="inlineStr"/>
      <c r="O20" s="30" t="inlineStr">
        <is>
          <t>Half-kneeling, reach opposite arm overhead and laterally</t>
        </is>
      </c>
    </row>
    <row r="21">
      <c r="A21" s="49" t="inlineStr">
        <is>
          <t>P1-D3-STR-1</t>
        </is>
      </c>
      <c r="B21" s="49" t="inlineStr">
        <is>
          <t>1</t>
        </is>
      </c>
      <c r="C21" s="49" t="inlineStr">
        <is>
          <t>3</t>
        </is>
      </c>
      <c r="D21" s="49" t="inlineStr">
        <is>
          <t>STRENGTH</t>
        </is>
      </c>
      <c r="E21" s="49" t="inlineStr">
        <is>
          <t>1</t>
        </is>
      </c>
      <c r="F21" s="49" t="inlineStr">
        <is>
          <t>STANDARD</t>
        </is>
      </c>
      <c r="G21" s="49" t="inlineStr">
        <is>
          <t>Incline Barbell Press</t>
        </is>
      </c>
      <c r="H21" s="49" t="inlineStr">
        <is>
          <t>4</t>
        </is>
      </c>
      <c r="I21" s="49" t="inlineStr">
        <is>
          <t>5 reps</t>
        </is>
      </c>
      <c r="J21" s="49" t="inlineStr">
        <is>
          <t>75% 1RM — explosive intent</t>
        </is>
      </c>
      <c r="K21" s="49" t="inlineStr">
        <is>
          <t>Explosive Push-up</t>
        </is>
      </c>
      <c r="L21" s="49" t="inlineStr">
        <is>
          <t>4</t>
        </is>
      </c>
      <c r="M21" s="49" t="inlineStr">
        <is>
          <t>5</t>
        </is>
      </c>
      <c r="N21" s="49" t="inlineStr"/>
      <c r="O21" s="49" t="inlineStr">
        <is>
          <t>Controlled down, explosive up — this is PAP prep</t>
        </is>
      </c>
    </row>
    <row r="22">
      <c r="A22" s="30" t="inlineStr">
        <is>
          <t>P1-D3-STR-2</t>
        </is>
      </c>
      <c r="B22" s="30" t="inlineStr">
        <is>
          <t>1</t>
        </is>
      </c>
      <c r="C22" s="30" t="inlineStr">
        <is>
          <t>3</t>
        </is>
      </c>
      <c r="D22" s="30" t="inlineStr">
        <is>
          <t>STRENGTH</t>
        </is>
      </c>
      <c r="E22" s="30" t="inlineStr">
        <is>
          <t>2</t>
        </is>
      </c>
      <c r="F22" s="30" t="inlineStr">
        <is>
          <t>STANDARD</t>
        </is>
      </c>
      <c r="G22" s="30" t="inlineStr">
        <is>
          <t>Weighted Dip</t>
        </is>
      </c>
      <c r="H22" s="30" t="inlineStr">
        <is>
          <t>3</t>
        </is>
      </c>
      <c r="I22" s="30" t="inlineStr">
        <is>
          <t>6 reps</t>
        </is>
      </c>
      <c r="J22" s="30" t="inlineStr">
        <is>
          <t>+15kg Phase 1</t>
        </is>
      </c>
      <c r="K22" s="30" t="inlineStr">
        <is>
          <t>Clap Push-up</t>
        </is>
      </c>
      <c r="L22" s="30" t="inlineStr">
        <is>
          <t>3</t>
        </is>
      </c>
      <c r="M22" s="30" t="inlineStr">
        <is>
          <t>5</t>
        </is>
      </c>
      <c r="N22" s="30" t="inlineStr"/>
      <c r="O22" s="30" t="inlineStr">
        <is>
          <t>Full ROM — chest to bar depth, explosive press</t>
        </is>
      </c>
    </row>
    <row r="23">
      <c r="A23" s="49" t="inlineStr">
        <is>
          <t>P1-D3-STR-3</t>
        </is>
      </c>
      <c r="B23" s="49" t="inlineStr">
        <is>
          <t>1</t>
        </is>
      </c>
      <c r="C23" s="49" t="inlineStr">
        <is>
          <t>3</t>
        </is>
      </c>
      <c r="D23" s="49" t="inlineStr">
        <is>
          <t>STRENGTH</t>
        </is>
      </c>
      <c r="E23" s="49" t="inlineStr">
        <is>
          <t>3</t>
        </is>
      </c>
      <c r="F23" s="49" t="inlineStr">
        <is>
          <t>STANDARD</t>
        </is>
      </c>
      <c r="G23" s="49" t="inlineStr">
        <is>
          <t>Landmine Press (Rotational)</t>
        </is>
      </c>
      <c r="H23" s="49" t="inlineStr">
        <is>
          <t>3</t>
        </is>
      </c>
      <c r="I23" s="49" t="inlineStr">
        <is>
          <t>8 reps each side</t>
        </is>
      </c>
      <c r="J23" s="49" t="inlineStr">
        <is>
          <t>Feel the rotation — punch pattern</t>
        </is>
      </c>
      <c r="K23" s="49" t="inlineStr"/>
      <c r="L23" s="49" t="inlineStr"/>
      <c r="M23" s="49" t="inlineStr"/>
      <c r="N23" s="49" t="inlineStr"/>
      <c r="O23" s="49" t="inlineStr"/>
    </row>
    <row r="24">
      <c r="A24" s="30" t="inlineStr">
        <is>
          <t>P1-D3-BAG-1</t>
        </is>
      </c>
      <c r="B24" s="30" t="inlineStr">
        <is>
          <t>1</t>
        </is>
      </c>
      <c r="C24" s="30" t="inlineStr">
        <is>
          <t>3</t>
        </is>
      </c>
      <c r="D24" s="30" t="inlineStr">
        <is>
          <t>BAG</t>
        </is>
      </c>
      <c r="E24" s="30" t="inlineStr">
        <is>
          <t>1</t>
        </is>
      </c>
      <c r="F24" s="30" t="inlineStr">
        <is>
          <t>STANDARD</t>
        </is>
      </c>
      <c r="G24" s="30" t="inlineStr">
        <is>
          <t>Bag Work — Cross-Hook-Cross Power</t>
        </is>
      </c>
      <c r="H24" s="30" t="inlineStr">
        <is>
          <t>6</t>
        </is>
      </c>
      <c r="I24" s="30" t="inlineStr">
        <is>
          <t>3 min rounds</t>
        </is>
      </c>
      <c r="J24" s="30" t="inlineStr">
        <is>
          <t>60s rest between rounds</t>
        </is>
      </c>
      <c r="K24" s="30" t="inlineStr"/>
      <c r="L24" s="30" t="inlineStr"/>
      <c r="M24" s="30" t="inlineStr"/>
      <c r="N24" s="30" t="inlineStr">
        <is>
          <t>R1-2: Technical 2-3-2 | R3-4: Combo with footwork | R5: Defence + Counter | R6: All-out power round</t>
        </is>
      </c>
      <c r="O24" s="30" t="inlineStr">
        <is>
          <t>RIGHT hand power focus every session — rotate the hip INTO the cross</t>
        </is>
      </c>
    </row>
    <row r="25">
      <c r="A25" s="49" t="inlineStr">
        <is>
          <t>P1-D3-CLR-1</t>
        </is>
      </c>
      <c r="B25" s="49" t="inlineStr">
        <is>
          <t>1</t>
        </is>
      </c>
      <c r="C25" s="49" t="inlineStr">
        <is>
          <t>3</t>
        </is>
      </c>
      <c r="D25" s="49" t="inlineStr">
        <is>
          <t>COOLDOWN</t>
        </is>
      </c>
      <c r="E25" s="49" t="inlineStr">
        <is>
          <t>1</t>
        </is>
      </c>
      <c r="F25" s="49" t="inlineStr">
        <is>
          <t>STANDARD</t>
        </is>
      </c>
      <c r="G25" s="49" t="inlineStr">
        <is>
          <t>Doorway Chest Stretch</t>
        </is>
      </c>
      <c r="H25" s="49" t="inlineStr">
        <is>
          <t>2</t>
        </is>
      </c>
      <c r="I25" s="49" t="inlineStr">
        <is>
          <t>60s</t>
        </is>
      </c>
      <c r="J25" s="49" t="inlineStr">
        <is>
          <t>Multiple angles — high/mid/low</t>
        </is>
      </c>
      <c r="K25" s="49" t="inlineStr"/>
      <c r="L25" s="49" t="inlineStr"/>
      <c r="M25" s="49" t="inlineStr"/>
      <c r="N25" s="49" t="inlineStr"/>
      <c r="O25" s="49" t="inlineStr">
        <is>
          <t>Find the tightest angle and stay there</t>
        </is>
      </c>
    </row>
    <row r="26">
      <c r="A26" s="30" t="inlineStr">
        <is>
          <t>P1-D3-CLR-2</t>
        </is>
      </c>
      <c r="B26" s="30" t="inlineStr">
        <is>
          <t>1</t>
        </is>
      </c>
      <c r="C26" s="30" t="inlineStr">
        <is>
          <t>3</t>
        </is>
      </c>
      <c r="D26" s="30" t="inlineStr">
        <is>
          <t>COOLDOWN</t>
        </is>
      </c>
      <c r="E26" s="30" t="inlineStr">
        <is>
          <t>2</t>
        </is>
      </c>
      <c r="F26" s="30" t="inlineStr">
        <is>
          <t>STANDARD</t>
        </is>
      </c>
      <c r="G26" s="30" t="inlineStr">
        <is>
          <t>Shoulder Cross-Body Rear Delt</t>
        </is>
      </c>
      <c r="H26" s="30" t="inlineStr">
        <is>
          <t>2</t>
        </is>
      </c>
      <c r="I26" s="30" t="inlineStr">
        <is>
          <t>45s each</t>
        </is>
      </c>
      <c r="J26" s="30" t="inlineStr">
        <is>
          <t>Feel rear delt/capsule</t>
        </is>
      </c>
      <c r="K26" s="30" t="inlineStr"/>
      <c r="L26" s="30" t="inlineStr"/>
      <c r="M26" s="30" t="inlineStr"/>
      <c r="N26" s="30" t="inlineStr"/>
      <c r="O26" s="30" t="inlineStr">
        <is>
          <t>Arm across chest, opposite hand pulls at elbow</t>
        </is>
      </c>
    </row>
    <row r="27">
      <c r="A27" s="49" t="inlineStr">
        <is>
          <t>P1-D3-CLR-3</t>
        </is>
      </c>
      <c r="B27" s="49" t="inlineStr">
        <is>
          <t>1</t>
        </is>
      </c>
      <c r="C27" s="49" t="inlineStr">
        <is>
          <t>3</t>
        </is>
      </c>
      <c r="D27" s="49" t="inlineStr">
        <is>
          <t>COOLDOWN</t>
        </is>
      </c>
      <c r="E27" s="49" t="inlineStr">
        <is>
          <t>3</t>
        </is>
      </c>
      <c r="F27" s="49" t="inlineStr">
        <is>
          <t>STANDARD</t>
        </is>
      </c>
      <c r="G27" s="49" t="inlineStr">
        <is>
          <t>Thread-the-Needle T-Spine</t>
        </is>
      </c>
      <c r="H27" s="49" t="inlineStr">
        <is>
          <t>2</t>
        </is>
      </c>
      <c r="I27" s="49" t="inlineStr">
        <is>
          <t>45s each side</t>
        </is>
      </c>
      <c r="J27" s="49" t="inlineStr">
        <is>
          <t>Full thoracic rotation</t>
        </is>
      </c>
      <c r="K27" s="49" t="inlineStr"/>
      <c r="L27" s="49" t="inlineStr"/>
      <c r="M27" s="49" t="inlineStr"/>
      <c r="N27" s="49" t="inlineStr"/>
      <c r="O27" s="49" t="inlineStr"/>
    </row>
    <row r="28">
      <c r="A28" s="30" t="inlineStr">
        <is>
          <t>P1-D3-CLR-4</t>
        </is>
      </c>
      <c r="B28" s="30" t="inlineStr">
        <is>
          <t>1</t>
        </is>
      </c>
      <c r="C28" s="30" t="inlineStr">
        <is>
          <t>3</t>
        </is>
      </c>
      <c r="D28" s="30" t="inlineStr">
        <is>
          <t>COOLDOWN</t>
        </is>
      </c>
      <c r="E28" s="30" t="inlineStr">
        <is>
          <t>4</t>
        </is>
      </c>
      <c r="F28" s="30" t="inlineStr">
        <is>
          <t>STANDARD</t>
        </is>
      </c>
      <c r="G28" s="30" t="inlineStr">
        <is>
          <t>Doorway Hip Flexor Lunge</t>
        </is>
      </c>
      <c r="H28" s="30" t="inlineStr">
        <is>
          <t>2</t>
        </is>
      </c>
      <c r="I28" s="30" t="inlineStr">
        <is>
          <t>45s each side</t>
        </is>
      </c>
      <c r="J28" s="30" t="inlineStr">
        <is>
          <t>RIGHT side priority — desk posture fix</t>
        </is>
      </c>
      <c r="K28" s="30" t="inlineStr"/>
      <c r="L28" s="30" t="inlineStr"/>
      <c r="M28" s="30" t="inlineStr"/>
      <c r="N28" s="30" t="inlineStr"/>
      <c r="O28" s="30" t="inlineStr">
        <is>
          <t>Posterior pelvic tilt throughout stretch</t>
        </is>
      </c>
    </row>
    <row r="29">
      <c r="A29" s="49" t="inlineStr">
        <is>
          <t>P1-D5-MOB-1-STD</t>
        </is>
      </c>
      <c r="B29" s="49" t="inlineStr">
        <is>
          <t>1</t>
        </is>
      </c>
      <c r="C29" s="49" t="inlineStr">
        <is>
          <t>5</t>
        </is>
      </c>
      <c r="D29" s="49" t="inlineStr">
        <is>
          <t>MOBILITY</t>
        </is>
      </c>
      <c r="E29" s="49" t="inlineStr">
        <is>
          <t>1</t>
        </is>
      </c>
      <c r="F29" s="49" t="inlineStr">
        <is>
          <t>STANDARD</t>
        </is>
      </c>
      <c r="G29" s="49" t="inlineStr">
        <is>
          <t>Cossack Squat</t>
        </is>
      </c>
      <c r="H29" s="49" t="inlineStr">
        <is>
          <t>2</t>
        </is>
      </c>
      <c r="I29" s="49" t="inlineStr">
        <is>
          <t>6 each side</t>
        </is>
      </c>
      <c r="J29" s="49" t="inlineStr">
        <is>
          <t>Load adductors through full range</t>
        </is>
      </c>
      <c r="K29" s="49" t="inlineStr"/>
      <c r="L29" s="49" t="inlineStr"/>
      <c r="M29" s="49" t="inlineStr"/>
      <c r="N29" s="49" t="inlineStr"/>
      <c r="O29" s="49" t="inlineStr">
        <is>
          <t>Slow descent, feel the inner thigh — this IS hip rehab</t>
        </is>
      </c>
    </row>
    <row r="30">
      <c r="A30" s="30" t="inlineStr">
        <is>
          <t>P1-D5-MOB-2-STD</t>
        </is>
      </c>
      <c r="B30" s="30" t="inlineStr">
        <is>
          <t>1</t>
        </is>
      </c>
      <c r="C30" s="30" t="inlineStr">
        <is>
          <t>5</t>
        </is>
      </c>
      <c r="D30" s="30" t="inlineStr">
        <is>
          <t>MOBILITY</t>
        </is>
      </c>
      <c r="E30" s="30" t="inlineStr">
        <is>
          <t>2</t>
        </is>
      </c>
      <c r="F30" s="30" t="inlineStr">
        <is>
          <t>STANDARD</t>
        </is>
      </c>
      <c r="G30" s="30" t="inlineStr">
        <is>
          <t>Band Hip Abduction Standing</t>
        </is>
      </c>
      <c r="H30" s="30" t="inlineStr">
        <is>
          <t>2</t>
        </is>
      </c>
      <c r="I30" s="30" t="inlineStr">
        <is>
          <t>15 reps each</t>
        </is>
      </c>
      <c r="J30" s="30" t="inlineStr">
        <is>
          <t>Straight leg — glute fires</t>
        </is>
      </c>
      <c r="K30" s="30" t="inlineStr"/>
      <c r="L30" s="30" t="inlineStr"/>
      <c r="M30" s="30" t="inlineStr"/>
      <c r="N30" s="30" t="inlineStr"/>
      <c r="O30" s="30" t="inlineStr"/>
    </row>
    <row r="31">
      <c r="A31" s="49" t="inlineStr">
        <is>
          <t>P1-D5-MOB-3-STD</t>
        </is>
      </c>
      <c r="B31" s="49" t="inlineStr">
        <is>
          <t>1</t>
        </is>
      </c>
      <c r="C31" s="49" t="inlineStr">
        <is>
          <t>5</t>
        </is>
      </c>
      <c r="D31" s="49" t="inlineStr">
        <is>
          <t>MOBILITY</t>
        </is>
      </c>
      <c r="E31" s="49" t="inlineStr">
        <is>
          <t>3</t>
        </is>
      </c>
      <c r="F31" s="49" t="inlineStr">
        <is>
          <t>STANDARD</t>
        </is>
      </c>
      <c r="G31" s="49" t="inlineStr">
        <is>
          <t>Adductor Stretch + Knee Drive</t>
        </is>
      </c>
      <c r="H31" s="49" t="inlineStr">
        <is>
          <t>2</t>
        </is>
      </c>
      <c r="I31" s="49" t="inlineStr">
        <is>
          <t>45s each</t>
        </is>
      </c>
      <c r="J31" s="49" t="inlineStr">
        <is>
          <t>Inner thigh tension then release</t>
        </is>
      </c>
      <c r="K31" s="49" t="inlineStr"/>
      <c r="L31" s="49" t="inlineStr"/>
      <c r="M31" s="49" t="inlineStr"/>
      <c r="N31" s="49" t="inlineStr"/>
      <c r="O31" s="49" t="inlineStr">
        <is>
          <t>Wide stance, shift weight side to side</t>
        </is>
      </c>
    </row>
    <row r="32">
      <c r="A32" s="30" t="inlineStr">
        <is>
          <t>P1-D5-MOB-4-STD</t>
        </is>
      </c>
      <c r="B32" s="30" t="inlineStr">
        <is>
          <t>1</t>
        </is>
      </c>
      <c r="C32" s="30" t="inlineStr">
        <is>
          <t>5</t>
        </is>
      </c>
      <c r="D32" s="30" t="inlineStr">
        <is>
          <t>MOBILITY</t>
        </is>
      </c>
      <c r="E32" s="30" t="inlineStr">
        <is>
          <t>4</t>
        </is>
      </c>
      <c r="F32" s="30" t="inlineStr">
        <is>
          <t>STANDARD</t>
        </is>
      </c>
      <c r="G32" s="30" t="inlineStr">
        <is>
          <t>Hip Flexion + External Rotation</t>
        </is>
      </c>
      <c r="H32" s="30" t="inlineStr">
        <is>
          <t>2</t>
        </is>
      </c>
      <c r="I32" s="30" t="inlineStr">
        <is>
          <t>45s each</t>
        </is>
      </c>
      <c r="J32" s="30" t="inlineStr">
        <is>
          <t>RIGHT hip focus</t>
        </is>
      </c>
      <c r="K32" s="30" t="inlineStr"/>
      <c r="L32" s="30" t="inlineStr"/>
      <c r="M32" s="30" t="inlineStr"/>
      <c r="N32" s="30" t="inlineStr"/>
      <c r="O32" s="30" t="inlineStr"/>
    </row>
    <row r="33">
      <c r="A33" s="49" t="inlineStr">
        <is>
          <t>P1-D5-MOB-5-STD</t>
        </is>
      </c>
      <c r="B33" s="49" t="inlineStr">
        <is>
          <t>1</t>
        </is>
      </c>
      <c r="C33" s="49" t="inlineStr">
        <is>
          <t>5</t>
        </is>
      </c>
      <c r="D33" s="49" t="inlineStr">
        <is>
          <t>MOBILITY</t>
        </is>
      </c>
      <c r="E33" s="49" t="inlineStr">
        <is>
          <t>5</t>
        </is>
      </c>
      <c r="F33" s="49" t="inlineStr">
        <is>
          <t>STANDARD</t>
        </is>
      </c>
      <c r="G33" s="49" t="inlineStr">
        <is>
          <t>Supine Hip CARs</t>
        </is>
      </c>
      <c r="H33" s="49" t="inlineStr">
        <is>
          <t>2</t>
        </is>
      </c>
      <c r="I33" s="49" t="inlineStr">
        <is>
          <t>5 each direction</t>
        </is>
      </c>
      <c r="J33" s="49" t="inlineStr">
        <is>
          <t>Full controlled circles</t>
        </is>
      </c>
      <c r="K33" s="49" t="inlineStr"/>
      <c r="L33" s="49" t="inlineStr"/>
      <c r="M33" s="49" t="inlineStr"/>
      <c r="N33" s="49" t="inlineStr"/>
      <c r="O33" s="49" t="inlineStr"/>
    </row>
    <row r="34">
      <c r="A34" s="30" t="inlineStr">
        <is>
          <t>P1-D5-MOB-1-HA</t>
        </is>
      </c>
      <c r="B34" s="30" t="inlineStr">
        <is>
          <t>1</t>
        </is>
      </c>
      <c r="C34" s="30" t="inlineStr">
        <is>
          <t>5</t>
        </is>
      </c>
      <c r="D34" s="30" t="inlineStr">
        <is>
          <t>MOBILITY</t>
        </is>
      </c>
      <c r="E34" s="30" t="inlineStr">
        <is>
          <t>1</t>
        </is>
      </c>
      <c r="F34" s="30" t="inlineStr">
        <is>
          <t>HIGH_ALERT</t>
        </is>
      </c>
      <c r="G34" s="30" t="inlineStr">
        <is>
          <t>Hip CARs (Slow — Full ROM)</t>
        </is>
      </c>
      <c r="H34" s="30" t="inlineStr">
        <is>
          <t>2</t>
        </is>
      </c>
      <c r="I34" s="30" t="inlineStr">
        <is>
          <t>5 each direction</t>
        </is>
      </c>
      <c r="J34" s="30" t="inlineStr">
        <is>
          <t>Maximum joint range at zero load</t>
        </is>
      </c>
      <c r="K34" s="30" t="inlineStr"/>
      <c r="L34" s="30" t="inlineStr"/>
      <c r="M34" s="30" t="inlineStr"/>
      <c r="N34" s="30" t="inlineStr"/>
      <c r="O34" s="30" t="inlineStr">
        <is>
          <t>HIGH ALERT: prioritise range over reps today</t>
        </is>
      </c>
    </row>
    <row r="35">
      <c r="A35" s="49" t="inlineStr">
        <is>
          <t>P1-D5-MOB-2-HA</t>
        </is>
      </c>
      <c r="B35" s="49" t="inlineStr">
        <is>
          <t>1</t>
        </is>
      </c>
      <c r="C35" s="49" t="inlineStr">
        <is>
          <t>5</t>
        </is>
      </c>
      <c r="D35" s="49" t="inlineStr">
        <is>
          <t>MOBILITY</t>
        </is>
      </c>
      <c r="E35" s="49" t="inlineStr">
        <is>
          <t>2</t>
        </is>
      </c>
      <c r="F35" s="49" t="inlineStr">
        <is>
          <t>HIGH_ALERT</t>
        </is>
      </c>
      <c r="G35" s="49" t="inlineStr">
        <is>
          <t>Lying Hip IR + Traction</t>
        </is>
      </c>
      <c r="H35" s="49" t="inlineStr">
        <is>
          <t>2</t>
        </is>
      </c>
      <c r="I35" s="49" t="inlineStr">
        <is>
          <t>60s each direction</t>
        </is>
      </c>
      <c r="J35" s="49" t="inlineStr">
        <is>
          <t>Gentle traction into internal rotation</t>
        </is>
      </c>
      <c r="K35" s="49" t="inlineStr"/>
      <c r="L35" s="49" t="inlineStr"/>
      <c r="M35" s="49" t="inlineStr"/>
      <c r="N35" s="49" t="inlineStr"/>
      <c r="O35" s="49" t="inlineStr">
        <is>
          <t>Towel under knee for support if needed</t>
        </is>
      </c>
    </row>
    <row r="36">
      <c r="A36" s="30" t="inlineStr">
        <is>
          <t>P1-D5-MOB-3-HA</t>
        </is>
      </c>
      <c r="B36" s="30" t="inlineStr">
        <is>
          <t>1</t>
        </is>
      </c>
      <c r="C36" s="30" t="inlineStr">
        <is>
          <t>5</t>
        </is>
      </c>
      <c r="D36" s="30" t="inlineStr">
        <is>
          <t>MOBILITY</t>
        </is>
      </c>
      <c r="E36" s="30" t="inlineStr">
        <is>
          <t>3</t>
        </is>
      </c>
      <c r="F36" s="30" t="inlineStr">
        <is>
          <t>HIGH_ALERT</t>
        </is>
      </c>
      <c r="G36" s="30" t="inlineStr">
        <is>
          <t>Cat-Cow + Hip Circles</t>
        </is>
      </c>
      <c r="H36" s="30" t="inlineStr">
        <is>
          <t>2</t>
        </is>
      </c>
      <c r="I36" s="30" t="inlineStr">
        <is>
          <t>8 reps</t>
        </is>
      </c>
      <c r="J36" s="30" t="inlineStr">
        <is>
          <t>Lumbar and hip joint warm-up</t>
        </is>
      </c>
      <c r="K36" s="30" t="inlineStr"/>
      <c r="L36" s="30" t="inlineStr"/>
      <c r="M36" s="30" t="inlineStr"/>
      <c r="N36" s="30" t="inlineStr"/>
      <c r="O36" s="30" t="inlineStr"/>
    </row>
    <row r="37">
      <c r="A37" s="49" t="inlineStr">
        <is>
          <t>P1-D5-MOB-4-HA</t>
        </is>
      </c>
      <c r="B37" s="49" t="inlineStr">
        <is>
          <t>1</t>
        </is>
      </c>
      <c r="C37" s="49" t="inlineStr">
        <is>
          <t>5</t>
        </is>
      </c>
      <c r="D37" s="49" t="inlineStr">
        <is>
          <t>MOBILITY</t>
        </is>
      </c>
      <c r="E37" s="49" t="inlineStr">
        <is>
          <t>4</t>
        </is>
      </c>
      <c r="F37" s="49" t="inlineStr">
        <is>
          <t>HIGH_ALERT</t>
        </is>
      </c>
      <c r="G37" s="49" t="inlineStr">
        <is>
          <t>Adductor PAILs-RAILs</t>
        </is>
      </c>
      <c r="H37" s="49" t="inlineStr">
        <is>
          <t>2</t>
        </is>
      </c>
      <c r="I37" s="49" t="inlineStr">
        <is>
          <t>45s hold each</t>
        </is>
      </c>
      <c r="J37" s="49" t="inlineStr">
        <is>
          <t>Contract then relax — neurological reset</t>
        </is>
      </c>
      <c r="K37" s="49" t="inlineStr"/>
      <c r="L37" s="49" t="inlineStr"/>
      <c r="M37" s="49" t="inlineStr"/>
      <c r="N37" s="49" t="inlineStr"/>
      <c r="O37" s="49" t="inlineStr">
        <is>
          <t>5s contract against floor, then deepen stretch</t>
        </is>
      </c>
    </row>
    <row r="38">
      <c r="A38" s="30" t="inlineStr">
        <is>
          <t>P1-D5-MOB-5-HA</t>
        </is>
      </c>
      <c r="B38" s="30" t="inlineStr">
        <is>
          <t>1</t>
        </is>
      </c>
      <c r="C38" s="30" t="inlineStr">
        <is>
          <t>5</t>
        </is>
      </c>
      <c r="D38" s="30" t="inlineStr">
        <is>
          <t>MOBILITY</t>
        </is>
      </c>
      <c r="E38" s="30" t="inlineStr">
        <is>
          <t>5</t>
        </is>
      </c>
      <c r="F38" s="30" t="inlineStr">
        <is>
          <t>HIGH_ALERT</t>
        </is>
      </c>
      <c r="G38" s="30" t="inlineStr">
        <is>
          <t>90/90 Stretch (Both Positions)</t>
        </is>
      </c>
      <c r="H38" s="30" t="inlineStr">
        <is>
          <t>3</t>
        </is>
      </c>
      <c r="I38" s="30" t="inlineStr">
        <is>
          <t>90s each side</t>
        </is>
      </c>
      <c r="J38" s="30" t="inlineStr">
        <is>
          <t>RIGHT side 3 sets — non-negotiable</t>
        </is>
      </c>
      <c r="K38" s="30" t="inlineStr"/>
      <c r="L38" s="30" t="inlineStr"/>
      <c r="M38" s="30" t="inlineStr"/>
      <c r="N38" s="30" t="inlineStr"/>
      <c r="O38" s="30" t="inlineStr">
        <is>
          <t>This is your primary hip rehab movement on HIGH ALERT days</t>
        </is>
      </c>
    </row>
    <row r="39">
      <c r="A39" s="49" t="inlineStr">
        <is>
          <t>P1-D5-STR-1</t>
        </is>
      </c>
      <c r="B39" s="49" t="inlineStr">
        <is>
          <t>1</t>
        </is>
      </c>
      <c r="C39" s="49" t="inlineStr">
        <is>
          <t>5</t>
        </is>
      </c>
      <c r="D39" s="49" t="inlineStr">
        <is>
          <t>STRENGTH</t>
        </is>
      </c>
      <c r="E39" s="49" t="inlineStr">
        <is>
          <t>1</t>
        </is>
      </c>
      <c r="F39" s="49" t="inlineStr">
        <is>
          <t>STANDARD</t>
        </is>
      </c>
      <c r="G39" s="49" t="inlineStr">
        <is>
          <t>Bulgarian Split Squat</t>
        </is>
      </c>
      <c r="H39" s="49" t="inlineStr">
        <is>
          <t>4</t>
        </is>
      </c>
      <c r="I39" s="49" t="inlineStr">
        <is>
          <t>6 reps each leg</t>
        </is>
      </c>
      <c r="J39" s="49" t="inlineStr">
        <is>
          <t>Bodyweight to start — add load when form is perfect</t>
        </is>
      </c>
      <c r="K39" s="49" t="inlineStr">
        <is>
          <t>Single-Leg Broad Jump</t>
        </is>
      </c>
      <c r="L39" s="49" t="inlineStr">
        <is>
          <t>4</t>
        </is>
      </c>
      <c r="M39" s="49" t="inlineStr">
        <is>
          <t>3</t>
        </is>
      </c>
      <c r="N39" s="49" t="inlineStr"/>
      <c r="O39" s="49" t="inlineStr">
        <is>
          <t>RIGHT leg forward first — this exposes the imbalance. Control the descent.</t>
        </is>
      </c>
    </row>
    <row r="40">
      <c r="A40" s="30" t="inlineStr">
        <is>
          <t>P1-D5-STR-2</t>
        </is>
      </c>
      <c r="B40" s="30" t="inlineStr">
        <is>
          <t>1</t>
        </is>
      </c>
      <c r="C40" s="30" t="inlineStr">
        <is>
          <t>5</t>
        </is>
      </c>
      <c r="D40" s="30" t="inlineStr">
        <is>
          <t>STRENGTH</t>
        </is>
      </c>
      <c r="E40" s="30" t="inlineStr">
        <is>
          <t>2</t>
        </is>
      </c>
      <c r="F40" s="30" t="inlineStr">
        <is>
          <t>STANDARD</t>
        </is>
      </c>
      <c r="G40" s="30" t="inlineStr">
        <is>
          <t>Single-Leg Romanian Deadlift</t>
        </is>
      </c>
      <c r="H40" s="30" t="inlineStr">
        <is>
          <t>3</t>
        </is>
      </c>
      <c r="I40" s="30" t="inlineStr">
        <is>
          <t>8 reps each</t>
        </is>
      </c>
      <c r="J40" s="30" t="inlineStr">
        <is>
          <t>Controlled — feel hamstring stretch</t>
        </is>
      </c>
      <c r="K40" s="30" t="inlineStr"/>
      <c r="L40" s="30" t="inlineStr"/>
      <c r="M40" s="30" t="inlineStr"/>
      <c r="N40" s="30" t="inlineStr"/>
      <c r="O40" s="30" t="inlineStr"/>
    </row>
    <row r="41">
      <c r="A41" s="49" t="inlineStr">
        <is>
          <t>P1-D5-STR-3</t>
        </is>
      </c>
      <c r="B41" s="49" t="inlineStr">
        <is>
          <t>1</t>
        </is>
      </c>
      <c r="C41" s="49" t="inlineStr">
        <is>
          <t>5</t>
        </is>
      </c>
      <c r="D41" s="49" t="inlineStr">
        <is>
          <t>STRENGTH</t>
        </is>
      </c>
      <c r="E41" s="49" t="inlineStr">
        <is>
          <t>3</t>
        </is>
      </c>
      <c r="F41" s="49" t="inlineStr">
        <is>
          <t>STANDARD</t>
        </is>
      </c>
      <c r="G41" s="49" t="inlineStr">
        <is>
          <t>Copenhagen Plank</t>
        </is>
      </c>
      <c r="H41" s="49" t="inlineStr">
        <is>
          <t>3</t>
        </is>
      </c>
      <c r="I41" s="49" t="inlineStr">
        <is>
          <t>20s each side</t>
        </is>
      </c>
      <c r="J41" s="49" t="inlineStr">
        <is>
          <t>THIS IS YOUR KICK STRENGTH EXERCISE</t>
        </is>
      </c>
      <c r="K41" s="49" t="inlineStr"/>
      <c r="L41" s="49" t="inlineStr"/>
      <c r="M41" s="49" t="inlineStr"/>
      <c r="N41" s="49" t="inlineStr"/>
      <c r="O41" s="49" t="inlineStr"/>
    </row>
    <row r="42">
      <c r="A42" s="30" t="inlineStr">
        <is>
          <t>P1-D5-STR-4</t>
        </is>
      </c>
      <c r="B42" s="30" t="inlineStr">
        <is>
          <t>1</t>
        </is>
      </c>
      <c r="C42" s="30" t="inlineStr">
        <is>
          <t>5</t>
        </is>
      </c>
      <c r="D42" s="30" t="inlineStr">
        <is>
          <t>STRENGTH</t>
        </is>
      </c>
      <c r="E42" s="30" t="inlineStr">
        <is>
          <t>4</t>
        </is>
      </c>
      <c r="F42" s="30" t="inlineStr">
        <is>
          <t>STANDARD</t>
        </is>
      </c>
      <c r="G42" s="30" t="inlineStr">
        <is>
          <t>Single-Leg Hip Thrust</t>
        </is>
      </c>
      <c r="H42" s="30" t="inlineStr">
        <is>
          <t>3</t>
        </is>
      </c>
      <c r="I42" s="30" t="inlineStr">
        <is>
          <t>10 reps each</t>
        </is>
      </c>
      <c r="J42" s="30" t="inlineStr">
        <is>
          <t>Drive through heel — max glute contraction</t>
        </is>
      </c>
      <c r="K42" s="30" t="inlineStr"/>
      <c r="L42" s="30" t="inlineStr"/>
      <c r="M42" s="30" t="inlineStr"/>
      <c r="N42" s="30" t="inlineStr"/>
      <c r="O42" s="30" t="inlineStr"/>
    </row>
    <row r="43">
      <c r="A43" s="49" t="inlineStr">
        <is>
          <t>P1-D5-BAG-1</t>
        </is>
      </c>
      <c r="B43" s="49" t="inlineStr">
        <is>
          <t>1</t>
        </is>
      </c>
      <c r="C43" s="49" t="inlineStr">
        <is>
          <t>5</t>
        </is>
      </c>
      <c r="D43" s="49" t="inlineStr">
        <is>
          <t>BAG</t>
        </is>
      </c>
      <c r="E43" s="49" t="inlineStr">
        <is>
          <t>1</t>
        </is>
      </c>
      <c r="F43" s="49" t="inlineStr">
        <is>
          <t>STANDARD</t>
        </is>
      </c>
      <c r="G43" s="49" t="inlineStr">
        <is>
          <t>Bag Work — Roundhouse Kick Setup</t>
        </is>
      </c>
      <c r="H43" s="49" t="inlineStr">
        <is>
          <t>6</t>
        </is>
      </c>
      <c r="I43" s="49" t="inlineStr">
        <is>
          <t>3 min rounds</t>
        </is>
      </c>
      <c r="J43" s="49" t="inlineStr">
        <is>
          <t>60s rest between rounds</t>
        </is>
      </c>
      <c r="K43" s="49" t="inlineStr"/>
      <c r="L43" s="49" t="inlineStr"/>
      <c r="M43" s="49" t="inlineStr"/>
      <c r="N43" s="49" t="inlineStr">
        <is>
          <t>R1-2: Jab-Cross + Kick SETUP (no kick yet) | R3-4: Full Roundhouse technique | R5: Jab-Cross + LOW kick | R6: Flow — all techniques</t>
        </is>
      </c>
      <c r="O43" s="49" t="inlineStr">
        <is>
          <t>FOCUS: plant foot fully, drive hip through. Power comes from hip rotation.</t>
        </is>
      </c>
    </row>
    <row r="44">
      <c r="A44" s="30" t="inlineStr">
        <is>
          <t>P1-D5-CLR-1</t>
        </is>
      </c>
      <c r="B44" s="30" t="inlineStr">
        <is>
          <t>1</t>
        </is>
      </c>
      <c r="C44" s="30" t="inlineStr">
        <is>
          <t>5</t>
        </is>
      </c>
      <c r="D44" s="30" t="inlineStr">
        <is>
          <t>COOLDOWN</t>
        </is>
      </c>
      <c r="E44" s="30" t="inlineStr">
        <is>
          <t>1</t>
        </is>
      </c>
      <c r="F44" s="30" t="inlineStr">
        <is>
          <t>STANDARD</t>
        </is>
      </c>
      <c r="G44" s="30" t="inlineStr">
        <is>
          <t>Pigeon Pose EXTENDED</t>
        </is>
      </c>
      <c r="H44" s="30" t="inlineStr">
        <is>
          <t>3</t>
        </is>
      </c>
      <c r="I44" s="30" t="inlineStr">
        <is>
          <t>90s each side</t>
        </is>
      </c>
      <c r="J44" s="30" t="inlineStr">
        <is>
          <t>RIGHT side: 3 sets non-negotiable</t>
        </is>
      </c>
      <c r="K44" s="30" t="inlineStr"/>
      <c r="L44" s="30" t="inlineStr"/>
      <c r="M44" s="30" t="inlineStr"/>
      <c r="N44" s="30" t="inlineStr"/>
      <c r="O44" s="30" t="inlineStr">
        <is>
          <t>Longest hold of the week — this is where the hip heals</t>
        </is>
      </c>
    </row>
    <row r="45">
      <c r="A45" s="49" t="inlineStr">
        <is>
          <t>P1-D5-CLR-2</t>
        </is>
      </c>
      <c r="B45" s="49" t="inlineStr">
        <is>
          <t>1</t>
        </is>
      </c>
      <c r="C45" s="49" t="inlineStr">
        <is>
          <t>5</t>
        </is>
      </c>
      <c r="D45" s="49" t="inlineStr">
        <is>
          <t>COOLDOWN</t>
        </is>
      </c>
      <c r="E45" s="49" t="inlineStr">
        <is>
          <t>2</t>
        </is>
      </c>
      <c r="F45" s="49" t="inlineStr">
        <is>
          <t>STANDARD</t>
        </is>
      </c>
      <c r="G45" s="49" t="inlineStr">
        <is>
          <t>Prone Hip Extension</t>
        </is>
      </c>
      <c r="H45" s="49" t="inlineStr">
        <is>
          <t>2</t>
        </is>
      </c>
      <c r="I45" s="49" t="inlineStr">
        <is>
          <t>60s each side</t>
        </is>
      </c>
      <c r="J45" s="49" t="inlineStr">
        <is>
          <t>Feel glute activate — reciprocal inhibition at rest</t>
        </is>
      </c>
      <c r="K45" s="49" t="inlineStr"/>
      <c r="L45" s="49" t="inlineStr"/>
      <c r="M45" s="49" t="inlineStr"/>
      <c r="N45" s="49" t="inlineStr"/>
      <c r="O45" s="49" t="inlineStr">
        <is>
          <t>Squeeze glute, lift leg 5cm. Hold. Psoas releases.</t>
        </is>
      </c>
    </row>
    <row r="46">
      <c r="A46" s="30" t="inlineStr">
        <is>
          <t>P1-D5-CLR-3</t>
        </is>
      </c>
      <c r="B46" s="30" t="inlineStr">
        <is>
          <t>1</t>
        </is>
      </c>
      <c r="C46" s="30" t="inlineStr">
        <is>
          <t>5</t>
        </is>
      </c>
      <c r="D46" s="30" t="inlineStr">
        <is>
          <t>COOLDOWN</t>
        </is>
      </c>
      <c r="E46" s="30" t="inlineStr">
        <is>
          <t>3</t>
        </is>
      </c>
      <c r="F46" s="30" t="inlineStr">
        <is>
          <t>STANDARD</t>
        </is>
      </c>
      <c r="G46" s="30" t="inlineStr">
        <is>
          <t>Child's Pose + Hip Shift</t>
        </is>
      </c>
      <c r="H46" s="30" t="inlineStr">
        <is>
          <t>2</t>
        </is>
      </c>
      <c r="I46" s="30" t="inlineStr">
        <is>
          <t>60s each side</t>
        </is>
      </c>
      <c r="J46" s="30" t="inlineStr">
        <is>
          <t>Shift hips to each side — lateral stretch</t>
        </is>
      </c>
      <c r="K46" s="30" t="inlineStr"/>
      <c r="L46" s="30" t="inlineStr"/>
      <c r="M46" s="30" t="inlineStr"/>
      <c r="N46" s="30" t="inlineStr"/>
      <c r="O46" s="30" t="inlineStr">
        <is>
          <t>Walk hands to one corner, feel the QL and hip flexor</t>
        </is>
      </c>
    </row>
    <row r="47">
      <c r="A47" s="49" t="inlineStr">
        <is>
          <t>P1-D5-CLR-4</t>
        </is>
      </c>
      <c r="B47" s="49" t="inlineStr">
        <is>
          <t>1</t>
        </is>
      </c>
      <c r="C47" s="49" t="inlineStr">
        <is>
          <t>5</t>
        </is>
      </c>
      <c r="D47" s="49" t="inlineStr">
        <is>
          <t>COOLDOWN</t>
        </is>
      </c>
      <c r="E47" s="49" t="inlineStr">
        <is>
          <t>4</t>
        </is>
      </c>
      <c r="F47" s="49" t="inlineStr">
        <is>
          <t>STANDARD</t>
        </is>
      </c>
      <c r="G47" s="49" t="inlineStr">
        <is>
          <t>Side-Lying Hip Abduction Hold</t>
        </is>
      </c>
      <c r="H47" s="49" t="inlineStr">
        <is>
          <t>2</t>
        </is>
      </c>
      <c r="I47" s="49" t="inlineStr">
        <is>
          <t>45s each</t>
        </is>
      </c>
      <c r="J47" s="49" t="inlineStr">
        <is>
          <t>TARGET: Pectineus &amp; adductor longus</t>
        </is>
      </c>
      <c r="K47" s="49" t="inlineStr"/>
      <c r="L47" s="49" t="inlineStr"/>
      <c r="M47" s="49" t="inlineStr"/>
      <c r="N47" s="49" t="inlineStr"/>
      <c r="O47" s="49" t="inlineStr"/>
    </row>
    <row r="48">
      <c r="A48" s="30" t="inlineStr">
        <is>
          <t>P1-D5-CLR-5</t>
        </is>
      </c>
      <c r="B48" s="30" t="inlineStr">
        <is>
          <t>1</t>
        </is>
      </c>
      <c r="C48" s="30" t="inlineStr">
        <is>
          <t>5</t>
        </is>
      </c>
      <c r="D48" s="30" t="inlineStr">
        <is>
          <t>COOLDOWN</t>
        </is>
      </c>
      <c r="E48" s="30" t="inlineStr">
        <is>
          <t>5</t>
        </is>
      </c>
      <c r="F48" s="30" t="inlineStr">
        <is>
          <t>STANDARD</t>
        </is>
      </c>
      <c r="G48" s="30" t="inlineStr">
        <is>
          <t>Supine Spinal Twist</t>
        </is>
      </c>
      <c r="H48" s="30" t="inlineStr">
        <is>
          <t>2</t>
        </is>
      </c>
      <c r="I48" s="30" t="inlineStr">
        <is>
          <t>60s each side</t>
        </is>
      </c>
      <c r="J48" s="30" t="inlineStr">
        <is>
          <t>Full lumbar decompression</t>
        </is>
      </c>
      <c r="K48" s="30" t="inlineStr"/>
      <c r="L48" s="30" t="inlineStr"/>
      <c r="M48" s="30" t="inlineStr"/>
      <c r="N48" s="30" t="inlineStr"/>
      <c r="O48" s="30" t="inlineStr"/>
    </row>
    <row r="49">
      <c r="A49" s="49" t="inlineStr">
        <is>
          <t>P1-D6-MOB-1-STD</t>
        </is>
      </c>
      <c r="B49" s="49" t="inlineStr">
        <is>
          <t>1</t>
        </is>
      </c>
      <c r="C49" s="49" t="inlineStr">
        <is>
          <t>6</t>
        </is>
      </c>
      <c r="D49" s="49" t="inlineStr">
        <is>
          <t>MOBILITY</t>
        </is>
      </c>
      <c r="E49" s="49" t="inlineStr">
        <is>
          <t>1</t>
        </is>
      </c>
      <c r="F49" s="49" t="inlineStr">
        <is>
          <t>STANDARD</t>
        </is>
      </c>
      <c r="G49" s="49" t="inlineStr">
        <is>
          <t>Band Pull-Apart</t>
        </is>
      </c>
      <c r="H49" s="49" t="inlineStr">
        <is>
          <t>2</t>
        </is>
      </c>
      <c r="I49" s="49" t="inlineStr">
        <is>
          <t>15 reps</t>
        </is>
      </c>
      <c r="J49" s="49" t="inlineStr">
        <is>
          <t>Scapular retraction — open the chest</t>
        </is>
      </c>
      <c r="K49" s="49" t="inlineStr"/>
      <c r="L49" s="49" t="inlineStr"/>
      <c r="M49" s="49" t="inlineStr"/>
      <c r="N49" s="49" t="inlineStr"/>
      <c r="O49" s="49" t="inlineStr">
        <is>
          <t>Slow and controlled. Hold the retraction 1s at back.</t>
        </is>
      </c>
    </row>
    <row r="50">
      <c r="A50" s="30" t="inlineStr">
        <is>
          <t>P1-D6-MOB-2-STD</t>
        </is>
      </c>
      <c r="B50" s="30" t="inlineStr">
        <is>
          <t>1</t>
        </is>
      </c>
      <c r="C50" s="30" t="inlineStr">
        <is>
          <t>6</t>
        </is>
      </c>
      <c r="D50" s="30" t="inlineStr">
        <is>
          <t>MOBILITY</t>
        </is>
      </c>
      <c r="E50" s="30" t="inlineStr">
        <is>
          <t>2</t>
        </is>
      </c>
      <c r="F50" s="30" t="inlineStr">
        <is>
          <t>STANDARD</t>
        </is>
      </c>
      <c r="G50" s="30" t="inlineStr">
        <is>
          <t>Scapular Wall Slides</t>
        </is>
      </c>
      <c r="H50" s="30" t="inlineStr">
        <is>
          <t>2</t>
        </is>
      </c>
      <c r="I50" s="30" t="inlineStr">
        <is>
          <t>10 reps</t>
        </is>
      </c>
      <c r="J50" s="30" t="inlineStr">
        <is>
          <t>Maintain contact with wall throughout</t>
        </is>
      </c>
      <c r="K50" s="30" t="inlineStr"/>
      <c r="L50" s="30" t="inlineStr"/>
      <c r="M50" s="30" t="inlineStr"/>
      <c r="N50" s="30" t="inlineStr"/>
      <c r="O50" s="30" t="inlineStr">
        <is>
          <t>Elbows and wrists stay on wall — full YWTL pattern</t>
        </is>
      </c>
    </row>
    <row r="51">
      <c r="A51" s="49" t="inlineStr">
        <is>
          <t>P1-D6-MOB-3-STD</t>
        </is>
      </c>
      <c r="B51" s="49" t="inlineStr">
        <is>
          <t>1</t>
        </is>
      </c>
      <c r="C51" s="49" t="inlineStr">
        <is>
          <t>6</t>
        </is>
      </c>
      <c r="D51" s="49" t="inlineStr">
        <is>
          <t>MOBILITY</t>
        </is>
      </c>
      <c r="E51" s="49" t="inlineStr">
        <is>
          <t>3</t>
        </is>
      </c>
      <c r="F51" s="49" t="inlineStr">
        <is>
          <t>STANDARD</t>
        </is>
      </c>
      <c r="G51" s="49" t="inlineStr">
        <is>
          <t>T-Spine Extension over Foam Roller</t>
        </is>
      </c>
      <c r="H51" s="49" t="inlineStr">
        <is>
          <t>2</t>
        </is>
      </c>
      <c r="I51" s="49" t="inlineStr">
        <is>
          <t>10 reps</t>
        </is>
      </c>
      <c r="J51" s="49" t="inlineStr">
        <is>
          <t>Target thoracic — not lumbar</t>
        </is>
      </c>
      <c r="K51" s="49" t="inlineStr"/>
      <c r="L51" s="49" t="inlineStr"/>
      <c r="M51" s="49" t="inlineStr"/>
      <c r="N51" s="49" t="inlineStr"/>
      <c r="O51" s="49" t="inlineStr">
        <is>
          <t>Arms across chest, extend over roller at different levels</t>
        </is>
      </c>
    </row>
    <row r="52">
      <c r="A52" s="30" t="inlineStr">
        <is>
          <t>P1-D6-STR-1</t>
        </is>
      </c>
      <c r="B52" s="30" t="inlineStr">
        <is>
          <t>1</t>
        </is>
      </c>
      <c r="C52" s="30" t="inlineStr">
        <is>
          <t>6</t>
        </is>
      </c>
      <c r="D52" s="30" t="inlineStr">
        <is>
          <t>STRENGTH</t>
        </is>
      </c>
      <c r="E52" s="30" t="inlineStr">
        <is>
          <t>1</t>
        </is>
      </c>
      <c r="F52" s="30" t="inlineStr">
        <is>
          <t>STANDARD</t>
        </is>
      </c>
      <c r="G52" s="30" t="inlineStr">
        <is>
          <t>Weighted Pull-up</t>
        </is>
      </c>
      <c r="H52" s="30" t="inlineStr">
        <is>
          <t>4</t>
        </is>
      </c>
      <c r="I52" s="30" t="inlineStr">
        <is>
          <t>4 reps</t>
        </is>
      </c>
      <c r="J52" s="30" t="inlineStr">
        <is>
          <t>+20kg Phase 1 (you're at +35kg max)</t>
        </is>
      </c>
      <c r="K52" s="30" t="inlineStr">
        <is>
          <t>Explosive Pull-up (BW)</t>
        </is>
      </c>
      <c r="L52" s="30" t="inlineStr">
        <is>
          <t>4</t>
        </is>
      </c>
      <c r="M52" s="30" t="inlineStr">
        <is>
          <t>5</t>
        </is>
      </c>
      <c r="N52" s="30" t="inlineStr"/>
      <c r="O52" s="30" t="inlineStr">
        <is>
          <t>Controlled 3s descent. Explosive Pull-up: max speed — like pulling yourself out of danger.</t>
        </is>
      </c>
    </row>
    <row r="53">
      <c r="A53" s="49" t="inlineStr">
        <is>
          <t>P1-D6-STR-2</t>
        </is>
      </c>
      <c r="B53" s="49" t="inlineStr">
        <is>
          <t>1</t>
        </is>
      </c>
      <c r="C53" s="49" t="inlineStr">
        <is>
          <t>6</t>
        </is>
      </c>
      <c r="D53" s="49" t="inlineStr">
        <is>
          <t>STRENGTH</t>
        </is>
      </c>
      <c r="E53" s="49" t="inlineStr">
        <is>
          <t>2</t>
        </is>
      </c>
      <c r="F53" s="49" t="inlineStr">
        <is>
          <t>STANDARD</t>
        </is>
      </c>
      <c r="G53" s="49" t="inlineStr">
        <is>
          <t>Chest-Supported Row</t>
        </is>
      </c>
      <c r="H53" s="49" t="inlineStr">
        <is>
          <t>3</t>
        </is>
      </c>
      <c r="I53" s="49" t="inlineStr">
        <is>
          <t>8 reps</t>
        </is>
      </c>
      <c r="J53" s="49" t="inlineStr">
        <is>
          <t>Control the eccentric — 3s down</t>
        </is>
      </c>
      <c r="K53" s="49" t="inlineStr"/>
      <c r="L53" s="49" t="inlineStr"/>
      <c r="M53" s="49" t="inlineStr"/>
      <c r="N53" s="49" t="inlineStr"/>
      <c r="O53" s="49" t="inlineStr"/>
    </row>
    <row r="54">
      <c r="A54" s="30" t="inlineStr">
        <is>
          <t>P1-D6-STR-3</t>
        </is>
      </c>
      <c r="B54" s="30" t="inlineStr">
        <is>
          <t>1</t>
        </is>
      </c>
      <c r="C54" s="30" t="inlineStr">
        <is>
          <t>6</t>
        </is>
      </c>
      <c r="D54" s="30" t="inlineStr">
        <is>
          <t>STRENGTH</t>
        </is>
      </c>
      <c r="E54" s="30" t="inlineStr">
        <is>
          <t>3</t>
        </is>
      </c>
      <c r="F54" s="30" t="inlineStr">
        <is>
          <t>STANDARD</t>
        </is>
      </c>
      <c r="G54" s="30" t="inlineStr">
        <is>
          <t>Landmine Row + Rotation</t>
        </is>
      </c>
      <c r="H54" s="30" t="inlineStr">
        <is>
          <t>3</t>
        </is>
      </c>
      <c r="I54" s="30" t="inlineStr">
        <is>
          <t>8 reps each side</t>
        </is>
      </c>
      <c r="J54" s="30" t="inlineStr">
        <is>
          <t>Hip drive into the pull</t>
        </is>
      </c>
      <c r="K54" s="30" t="inlineStr"/>
      <c r="L54" s="30" t="inlineStr"/>
      <c r="M54" s="30" t="inlineStr"/>
      <c r="N54" s="30" t="inlineStr"/>
      <c r="O54" s="30" t="inlineStr"/>
    </row>
    <row r="55">
      <c r="A55" s="49" t="inlineStr">
        <is>
          <t>P1-D6-STR-4</t>
        </is>
      </c>
      <c r="B55" s="49" t="inlineStr">
        <is>
          <t>1</t>
        </is>
      </c>
      <c r="C55" s="49" t="inlineStr">
        <is>
          <t>6</t>
        </is>
      </c>
      <c r="D55" s="49" t="inlineStr">
        <is>
          <t>STRENGTH</t>
        </is>
      </c>
      <c r="E55" s="49" t="inlineStr">
        <is>
          <t>4</t>
        </is>
      </c>
      <c r="F55" s="49" t="inlineStr">
        <is>
          <t>STANDARD</t>
        </is>
      </c>
      <c r="G55" s="49" t="inlineStr">
        <is>
          <t>Cable High-to-Low Woodchop</t>
        </is>
      </c>
      <c r="H55" s="49" t="inlineStr">
        <is>
          <t>3</t>
        </is>
      </c>
      <c r="I55" s="49" t="inlineStr">
        <is>
          <t>10 reps each side</t>
        </is>
      </c>
      <c r="J55" s="49" t="inlineStr">
        <is>
          <t>Full rotation — belt to opposite knee</t>
        </is>
      </c>
      <c r="K55" s="49" t="inlineStr"/>
      <c r="L55" s="49" t="inlineStr"/>
      <c r="M55" s="49" t="inlineStr"/>
      <c r="N55" s="49" t="inlineStr"/>
      <c r="O55" s="49" t="inlineStr">
        <is>
          <t>This generates rotational knockout power — own every rep</t>
        </is>
      </c>
    </row>
    <row r="56">
      <c r="A56" s="30" t="inlineStr">
        <is>
          <t>P1-D6-BAG-1</t>
        </is>
      </c>
      <c r="B56" s="30" t="inlineStr">
        <is>
          <t>1</t>
        </is>
      </c>
      <c r="C56" s="30" t="inlineStr">
        <is>
          <t>6</t>
        </is>
      </c>
      <c r="D56" s="30" t="inlineStr">
        <is>
          <t>BAG</t>
        </is>
      </c>
      <c r="E56" s="30" t="inlineStr">
        <is>
          <t>1</t>
        </is>
      </c>
      <c r="F56" s="30" t="inlineStr">
        <is>
          <t>STANDARD</t>
        </is>
      </c>
      <c r="G56" s="30" t="inlineStr">
        <is>
          <t>Bag Work — Defence + Counter</t>
        </is>
      </c>
      <c r="H56" s="30" t="inlineStr">
        <is>
          <t>5</t>
        </is>
      </c>
      <c r="I56" s="30" t="inlineStr">
        <is>
          <t>3 min rounds</t>
        </is>
      </c>
      <c r="J56" s="30" t="inlineStr">
        <is>
          <t>60s rest between rounds</t>
        </is>
      </c>
      <c r="K56" s="30" t="inlineStr"/>
      <c r="L56" s="30" t="inlineStr"/>
      <c r="M56" s="30" t="inlineStr"/>
      <c r="N56" s="30" t="inlineStr">
        <is>
          <t>R1-2: Slip + Return | R3: Parry + Cross Counter | R4: Clinch Exits | R5: Full Defence into Power Counter</t>
        </is>
      </c>
      <c r="O56" s="30" t="inlineStr">
        <is>
          <t>Move your head FIRST. The counter is earned by the defence.</t>
        </is>
      </c>
    </row>
    <row r="57">
      <c r="A57" s="49" t="inlineStr">
        <is>
          <t>P1-D6-CLR-1</t>
        </is>
      </c>
      <c r="B57" s="49" t="inlineStr">
        <is>
          <t>1</t>
        </is>
      </c>
      <c r="C57" s="49" t="inlineStr">
        <is>
          <t>6</t>
        </is>
      </c>
      <c r="D57" s="49" t="inlineStr">
        <is>
          <t>COOLDOWN</t>
        </is>
      </c>
      <c r="E57" s="49" t="inlineStr">
        <is>
          <t>1</t>
        </is>
      </c>
      <c r="F57" s="49" t="inlineStr">
        <is>
          <t>STANDARD</t>
        </is>
      </c>
      <c r="G57" s="49" t="inlineStr">
        <is>
          <t>Lat/Serratus Band Stretch</t>
        </is>
      </c>
      <c r="H57" s="49" t="inlineStr">
        <is>
          <t>2</t>
        </is>
      </c>
      <c r="I57" s="49" t="inlineStr">
        <is>
          <t>45s each</t>
        </is>
      </c>
      <c r="J57" s="49" t="inlineStr">
        <is>
          <t>Full overhead lat stretch with band</t>
        </is>
      </c>
      <c r="K57" s="49" t="inlineStr"/>
      <c r="L57" s="49" t="inlineStr"/>
      <c r="M57" s="49" t="inlineStr"/>
      <c r="N57" s="49" t="inlineStr"/>
      <c r="O57" s="49" t="inlineStr"/>
    </row>
    <row r="58">
      <c r="A58" s="30" t="inlineStr">
        <is>
          <t>P1-D6-CLR-2</t>
        </is>
      </c>
      <c r="B58" s="30" t="inlineStr">
        <is>
          <t>1</t>
        </is>
      </c>
      <c r="C58" s="30" t="inlineStr">
        <is>
          <t>6</t>
        </is>
      </c>
      <c r="D58" s="30" t="inlineStr">
        <is>
          <t>COOLDOWN</t>
        </is>
      </c>
      <c r="E58" s="30" t="inlineStr">
        <is>
          <t>2</t>
        </is>
      </c>
      <c r="F58" s="30" t="inlineStr">
        <is>
          <t>STANDARD</t>
        </is>
      </c>
      <c r="G58" s="30" t="inlineStr">
        <is>
          <t>Overhead Tricep Stretch</t>
        </is>
      </c>
      <c r="H58" s="30" t="inlineStr">
        <is>
          <t>2</t>
        </is>
      </c>
      <c r="I58" s="30" t="inlineStr">
        <is>
          <t>45s each</t>
        </is>
      </c>
      <c r="J58" s="30" t="inlineStr">
        <is>
          <t>Elbow behind head — full stretch</t>
        </is>
      </c>
      <c r="K58" s="30" t="inlineStr"/>
      <c r="L58" s="30" t="inlineStr"/>
      <c r="M58" s="30" t="inlineStr"/>
      <c r="N58" s="30" t="inlineStr"/>
      <c r="O58" s="30" t="inlineStr">
        <is>
          <t>P1-D6-CLR-3,1,6,COOLDOWN,3,STANDARD,Doorway Hip Flexor,2,45s each,RIGHT side priority — desk/cycling fix,,,,,Posterior pelvic tilt — psoas stretch"</t>
        </is>
      </c>
    </row>
    <row r="59">
      <c r="A59" s="49" t="inlineStr">
        <is>
          <t>P1-D6-CLR-4</t>
        </is>
      </c>
      <c r="B59" s="49" t="inlineStr">
        <is>
          <t>1</t>
        </is>
      </c>
      <c r="C59" s="49" t="inlineStr">
        <is>
          <t>6</t>
        </is>
      </c>
      <c r="D59" s="49" t="inlineStr">
        <is>
          <t>COOLDOWN</t>
        </is>
      </c>
      <c r="E59" s="49" t="inlineStr">
        <is>
          <t>4</t>
        </is>
      </c>
      <c r="F59" s="49" t="inlineStr">
        <is>
          <t>STANDARD</t>
        </is>
      </c>
      <c r="G59" s="49" t="inlineStr">
        <is>
          <t>Wrist + Forearm Flexor</t>
        </is>
      </c>
      <c r="H59" s="49" t="inlineStr">
        <is>
          <t>2</t>
        </is>
      </c>
      <c r="I59" s="49" t="inlineStr">
        <is>
          <t>30s each</t>
        </is>
      </c>
      <c r="J59" s="49" t="inlineStr">
        <is>
          <t>Palm-down wrist extension</t>
        </is>
      </c>
      <c r="K59" s="49" t="inlineStr"/>
      <c r="L59" s="49" t="inlineStr"/>
      <c r="M59" s="49" t="inlineStr"/>
      <c r="N59" s="49" t="inlineStr"/>
      <c r="O59" s="49" t="inlineStr"/>
    </row>
    <row r="60">
      <c r="A60" s="30" t="inlineStr">
        <is>
          <t>P2-D1-MOB-1-STD</t>
        </is>
      </c>
      <c r="B60" s="30" t="inlineStr">
        <is>
          <t>2</t>
        </is>
      </c>
      <c r="C60" s="30" t="inlineStr">
        <is>
          <t>1</t>
        </is>
      </c>
      <c r="D60" s="30" t="inlineStr">
        <is>
          <t>MOBILITY</t>
        </is>
      </c>
      <c r="E60" s="30" t="inlineStr">
        <is>
          <t>1</t>
        </is>
      </c>
      <c r="F60" s="30" t="inlineStr">
        <is>
          <t>STANDARD</t>
        </is>
      </c>
      <c r="G60" s="30" t="inlineStr">
        <is>
          <t>90/90 Hip IR/ER + Loaded Stretch</t>
        </is>
      </c>
      <c r="H60" s="30" t="inlineStr"/>
      <c r="I60" s="30" t="inlineStr">
        <is>
          <t>2x60s each side</t>
        </is>
      </c>
      <c r="J60" s="30" t="inlineStr">
        <is>
          <t>RIGHT priority — add light resistance</t>
        </is>
      </c>
      <c r="K60" s="30" t="inlineStr"/>
      <c r="L60" s="30" t="inlineStr"/>
      <c r="M60" s="30" t="inlineStr"/>
      <c r="N60" s="30" t="inlineStr"/>
      <c r="O60" s="30" t="inlineStr">
        <is>
          <t>Phase 2: same base — add 2kg ankle weight for loaded stretch</t>
        </is>
      </c>
    </row>
    <row r="61">
      <c r="A61" s="49" t="inlineStr">
        <is>
          <t>P2-D1-MOB-2-STD</t>
        </is>
      </c>
      <c r="B61" s="49" t="inlineStr">
        <is>
          <t>2</t>
        </is>
      </c>
      <c r="C61" s="49" t="inlineStr">
        <is>
          <t>1</t>
        </is>
      </c>
      <c r="D61" s="49" t="inlineStr">
        <is>
          <t>MOBILITY</t>
        </is>
      </c>
      <c r="E61" s="49" t="inlineStr">
        <is>
          <t>2</t>
        </is>
      </c>
      <c r="F61" s="49" t="inlineStr">
        <is>
          <t>STANDARD</t>
        </is>
      </c>
      <c r="G61" s="49" t="inlineStr">
        <is>
          <t>Supine Figure-4 Piriformis</t>
        </is>
      </c>
      <c r="H61" s="49" t="inlineStr"/>
      <c r="I61" s="49" t="inlineStr">
        <is>
          <t>2x60s each side</t>
        </is>
      </c>
      <c r="J61" s="49" t="inlineStr">
        <is>
          <t>Hold longer than Phase 1</t>
        </is>
      </c>
      <c r="K61" s="49" t="inlineStr"/>
      <c r="L61" s="49" t="inlineStr"/>
      <c r="M61" s="49" t="inlineStr"/>
      <c r="N61" s="49" t="inlineStr"/>
      <c r="O61" s="49" t="inlineStr">
        <is>
          <t>Deep breath expands ribcage — increases stretch on exhale</t>
        </is>
      </c>
    </row>
    <row r="62">
      <c r="A62" s="30" t="inlineStr">
        <is>
          <t>P2-D1-MOB-3-STD</t>
        </is>
      </c>
      <c r="B62" s="30" t="inlineStr">
        <is>
          <t>2</t>
        </is>
      </c>
      <c r="C62" s="30" t="inlineStr">
        <is>
          <t>1</t>
        </is>
      </c>
      <c r="D62" s="30" t="inlineStr">
        <is>
          <t>MOBILITY</t>
        </is>
      </c>
      <c r="E62" s="30" t="inlineStr">
        <is>
          <t>3</t>
        </is>
      </c>
      <c r="F62" s="30" t="inlineStr">
        <is>
          <t>STANDARD</t>
        </is>
      </c>
      <c r="G62" s="30" t="inlineStr">
        <is>
          <t>Half-Kneeling Hip Flexor + Band Resist</t>
        </is>
      </c>
      <c r="H62" s="30" t="inlineStr"/>
      <c r="I62" s="30" t="inlineStr">
        <is>
          <t>2x45s each side</t>
        </is>
      </c>
      <c r="J62" s="30" t="inlineStr">
        <is>
          <t>Add band resistance to glute</t>
        </is>
      </c>
      <c r="K62" s="30" t="inlineStr"/>
      <c r="L62" s="30" t="inlineStr"/>
      <c r="M62" s="30" t="inlineStr"/>
      <c r="N62" s="30" t="inlineStr"/>
      <c r="O62" s="30" t="inlineStr">
        <is>
          <t>Band around thigh — activates glute while stretching hip flexor</t>
        </is>
      </c>
    </row>
    <row r="63">
      <c r="A63" s="49" t="inlineStr">
        <is>
          <t>P2-D1-MOB-1-HA</t>
        </is>
      </c>
      <c r="B63" s="49" t="inlineStr">
        <is>
          <t>2</t>
        </is>
      </c>
      <c r="C63" s="49" t="inlineStr">
        <is>
          <t>1</t>
        </is>
      </c>
      <c r="D63" s="49" t="inlineStr">
        <is>
          <t>MOBILITY</t>
        </is>
      </c>
      <c r="E63" s="49" t="inlineStr">
        <is>
          <t>1</t>
        </is>
      </c>
      <c r="F63" s="49" t="inlineStr">
        <is>
          <t>HIGH_ALERT</t>
        </is>
      </c>
      <c r="G63" s="49" t="inlineStr">
        <is>
          <t>Supine Knee Circles (Easy)</t>
        </is>
      </c>
      <c r="H63" s="49" t="inlineStr"/>
      <c r="I63" s="49" t="inlineStr">
        <is>
          <t>2x10 each direction</t>
        </is>
      </c>
      <c r="J63" s="49" t="inlineStr">
        <is>
          <t>Same as P1 — joint-first priority</t>
        </is>
      </c>
      <c r="K63" s="49" t="inlineStr"/>
      <c r="L63" s="49" t="inlineStr"/>
      <c r="M63" s="49" t="inlineStr"/>
      <c r="N63" s="49" t="inlineStr"/>
      <c r="O63" s="49" t="inlineStr">
        <is>
          <t>Same cue as Phase 1</t>
        </is>
      </c>
    </row>
    <row r="64">
      <c r="A64" s="30" t="inlineStr">
        <is>
          <t>P2-D1-MOB-2-HA</t>
        </is>
      </c>
      <c r="B64" s="30" t="inlineStr">
        <is>
          <t>2</t>
        </is>
      </c>
      <c r="C64" s="30" t="inlineStr">
        <is>
          <t>1</t>
        </is>
      </c>
      <c r="D64" s="30" t="inlineStr">
        <is>
          <t>MOBILITY</t>
        </is>
      </c>
      <c r="E64" s="30" t="inlineStr">
        <is>
          <t>2</t>
        </is>
      </c>
      <c r="F64" s="30" t="inlineStr">
        <is>
          <t>HIGH_ALERT</t>
        </is>
      </c>
      <c r="G64" s="30" t="inlineStr">
        <is>
          <t>Adductor PAILs-RAILs</t>
        </is>
      </c>
      <c r="H64" s="30" t="inlineStr">
        <is>
          <t>2</t>
        </is>
      </c>
      <c r="I64" s="30" t="inlineStr">
        <is>
          <t>45s</t>
        </is>
      </c>
      <c r="J64" s="30" t="inlineStr">
        <is>
          <t>Contract then deepen — neurological reset</t>
        </is>
      </c>
      <c r="K64" s="30" t="inlineStr"/>
      <c r="L64" s="30" t="inlineStr"/>
      <c r="M64" s="30" t="inlineStr"/>
      <c r="N64" s="30" t="inlineStr"/>
      <c r="O64" s="30" t="inlineStr">
        <is>
          <t>5s max isometric contraction, then 10s relaxed deepening</t>
        </is>
      </c>
    </row>
    <row r="65">
      <c r="A65" s="49" t="inlineStr">
        <is>
          <t>P2-D1-MOB-3-HA</t>
        </is>
      </c>
      <c r="B65" s="49" t="inlineStr">
        <is>
          <t>2</t>
        </is>
      </c>
      <c r="C65" s="49" t="inlineStr">
        <is>
          <t>1</t>
        </is>
      </c>
      <c r="D65" s="49" t="inlineStr">
        <is>
          <t>MOBILITY</t>
        </is>
      </c>
      <c r="E65" s="49" t="inlineStr">
        <is>
          <t>3</t>
        </is>
      </c>
      <c r="F65" s="49" t="inlineStr">
        <is>
          <t>HIGH_ALERT</t>
        </is>
      </c>
      <c r="G65" s="49" t="inlineStr">
        <is>
          <t>90/90 Hip Stretch (Both positions)</t>
        </is>
      </c>
      <c r="H65" s="49" t="inlineStr">
        <is>
          <t>3</t>
        </is>
      </c>
      <c r="I65" s="49" t="inlineStr">
        <is>
          <t>90s each side</t>
        </is>
      </c>
      <c r="J65" s="49" t="inlineStr">
        <is>
          <t>RIGHT side non-negotiable</t>
        </is>
      </c>
      <c r="K65" s="49" t="inlineStr"/>
      <c r="L65" s="49" t="inlineStr"/>
      <c r="M65" s="49" t="inlineStr"/>
      <c r="N65" s="49" t="inlineStr"/>
      <c r="O65" s="49" t="inlineStr">
        <is>
          <t>Same cue as Phase 1</t>
        </is>
      </c>
    </row>
    <row r="66">
      <c r="A66" s="30" t="inlineStr">
        <is>
          <t>P2-D1-STR-1</t>
        </is>
      </c>
      <c r="B66" s="30" t="inlineStr">
        <is>
          <t>2</t>
        </is>
      </c>
      <c r="C66" s="30" t="inlineStr">
        <is>
          <t>1</t>
        </is>
      </c>
      <c r="D66" s="30" t="inlineStr">
        <is>
          <t>STRENGTH</t>
        </is>
      </c>
      <c r="E66" s="30" t="inlineStr">
        <is>
          <t>1</t>
        </is>
      </c>
      <c r="F66" s="30" t="inlineStr">
        <is>
          <t>STANDARD</t>
        </is>
      </c>
      <c r="G66" s="30" t="inlineStr">
        <is>
          <t>Barbell Back Squat</t>
        </is>
      </c>
      <c r="H66" s="30" t="inlineStr">
        <is>
          <t>4</t>
        </is>
      </c>
      <c r="I66" s="30" t="inlineStr">
        <is>
          <t>3-4 reps</t>
        </is>
      </c>
      <c r="J66" s="30" t="inlineStr">
        <is>
          <t>85% 1RM — heavier than P1</t>
        </is>
      </c>
      <c r="K66" s="30" t="inlineStr">
        <is>
          <t>Box Jump</t>
        </is>
      </c>
      <c r="L66" s="30" t="inlineStr">
        <is>
          <t>4</t>
        </is>
      </c>
      <c r="M66" s="30" t="inlineStr">
        <is>
          <t>4</t>
        </is>
      </c>
      <c r="N66" s="30" t="inlineStr"/>
      <c r="O66" s="30" t="inlineStr">
        <is>
          <t>Heavier this phase — drop reps, keep form perfect</t>
        </is>
      </c>
    </row>
    <row r="67">
      <c r="A67" s="49" t="inlineStr">
        <is>
          <t>P2-D1-STR-2</t>
        </is>
      </c>
      <c r="B67" s="49" t="inlineStr">
        <is>
          <t>2</t>
        </is>
      </c>
      <c r="C67" s="49" t="inlineStr">
        <is>
          <t>1</t>
        </is>
      </c>
      <c r="D67" s="49" t="inlineStr">
        <is>
          <t>STRENGTH</t>
        </is>
      </c>
      <c r="E67" s="49" t="inlineStr">
        <is>
          <t>2</t>
        </is>
      </c>
      <c r="F67" s="49" t="inlineStr">
        <is>
          <t>STANDARD</t>
        </is>
      </c>
      <c r="G67" s="49" t="inlineStr">
        <is>
          <t>Trap Bar Deadlift</t>
        </is>
      </c>
      <c r="H67" s="49" t="inlineStr">
        <is>
          <t>3</t>
        </is>
      </c>
      <c r="I67" s="49" t="inlineStr">
        <is>
          <t>6 reps</t>
        </is>
      </c>
      <c r="J67" s="49" t="inlineStr">
        <is>
          <t>Moderate — hip hinge emphasis</t>
        </is>
      </c>
      <c r="K67" s="49" t="inlineStr">
        <is>
          <t>Broad Jump</t>
        </is>
      </c>
      <c r="L67" s="49" t="inlineStr">
        <is>
          <t>3</t>
        </is>
      </c>
      <c r="M67" s="49" t="inlineStr">
        <is>
          <t>4</t>
        </is>
      </c>
      <c r="N67" s="49" t="inlineStr"/>
      <c r="O67" s="49" t="inlineStr">
        <is>
          <t>Phase 2 switches to Trap Bar — more hip-dominant</t>
        </is>
      </c>
    </row>
    <row r="68">
      <c r="A68" s="30" t="inlineStr">
        <is>
          <t>P2-D1-STR-3</t>
        </is>
      </c>
      <c r="B68" s="30" t="inlineStr">
        <is>
          <t>2</t>
        </is>
      </c>
      <c r="C68" s="30" t="inlineStr">
        <is>
          <t>1</t>
        </is>
      </c>
      <c r="D68" s="30" t="inlineStr">
        <is>
          <t>STRENGTH</t>
        </is>
      </c>
      <c r="E68" s="30" t="inlineStr">
        <is>
          <t>3</t>
        </is>
      </c>
      <c r="F68" s="30" t="inlineStr">
        <is>
          <t>STANDARD</t>
        </is>
      </c>
      <c r="G68" s="30" t="inlineStr">
        <is>
          <t>Barbell Hip Thrust</t>
        </is>
      </c>
      <c r="H68" s="30" t="inlineStr">
        <is>
          <t>3</t>
        </is>
      </c>
      <c r="I68" s="30" t="inlineStr">
        <is>
          <t>8 reps</t>
        </is>
      </c>
      <c r="J68" s="30" t="inlineStr">
        <is>
          <t>Heavier than P1 — 3s pause at top</t>
        </is>
      </c>
      <c r="K68" s="30" t="inlineStr"/>
      <c r="L68" s="30" t="inlineStr"/>
      <c r="M68" s="30" t="inlineStr"/>
      <c r="N68" s="30" t="inlineStr"/>
      <c r="O68" s="30" t="inlineStr"/>
    </row>
    <row r="69">
      <c r="A69" s="49" t="inlineStr">
        <is>
          <t>P2-D1-BAG-1</t>
        </is>
      </c>
      <c r="B69" s="49" t="inlineStr">
        <is>
          <t>2</t>
        </is>
      </c>
      <c r="C69" s="49" t="inlineStr">
        <is>
          <t>1</t>
        </is>
      </c>
      <c r="D69" s="49" t="inlineStr">
        <is>
          <t>BAG</t>
        </is>
      </c>
      <c r="E69" s="49" t="inlineStr">
        <is>
          <t>1</t>
        </is>
      </c>
      <c r="F69" s="49" t="inlineStr">
        <is>
          <t>STANDARD</t>
        </is>
      </c>
      <c r="G69" s="49" t="inlineStr">
        <is>
          <t>Bag Work — Jab-Cross + Body Shot</t>
        </is>
      </c>
      <c r="H69" s="49" t="inlineStr">
        <is>
          <t>6</t>
        </is>
      </c>
      <c r="I69" s="49" t="inlineStr">
        <is>
          <t>3 min rounds</t>
        </is>
      </c>
      <c r="J69" s="49" t="inlineStr">
        <is>
          <t>60s rest between rounds</t>
        </is>
      </c>
      <c r="K69" s="49" t="inlineStr"/>
      <c r="L69" s="49" t="inlineStr"/>
      <c r="M69" s="49" t="inlineStr"/>
      <c r="N69" s="49" t="inlineStr">
        <is>
          <t>R1: 1-2 + Body | R2: 1-2 + 1-2-Body | R3: Setup punch + Body | R4: Body first + Head | R5: Combination flow | R6: Power round</t>
        </is>
      </c>
      <c r="O69" s="49" t="inlineStr">
        <is>
          <t>Phase 2: body shots added — lower targets force hip rotation</t>
        </is>
      </c>
    </row>
    <row r="70">
      <c r="A70" s="30" t="inlineStr">
        <is>
          <t>P2-D1-CLR-1</t>
        </is>
      </c>
      <c r="B70" s="30" t="inlineStr">
        <is>
          <t>2</t>
        </is>
      </c>
      <c r="C70" s="30" t="inlineStr">
        <is>
          <t>1</t>
        </is>
      </c>
      <c r="D70" s="30" t="inlineStr">
        <is>
          <t>COOLDOWN</t>
        </is>
      </c>
      <c r="E70" s="30" t="inlineStr">
        <is>
          <t>1</t>
        </is>
      </c>
      <c r="F70" s="30" t="inlineStr">
        <is>
          <t>STANDARD</t>
        </is>
      </c>
      <c r="G70" s="30" t="inlineStr">
        <is>
          <t>Pigeon Pose (Deep)</t>
        </is>
      </c>
      <c r="H70" s="30" t="inlineStr">
        <is>
          <t>3</t>
        </is>
      </c>
      <c r="I70" s="30" t="inlineStr">
        <is>
          <t>90s each side</t>
        </is>
      </c>
      <c r="J70" s="30" t="inlineStr">
        <is>
          <t>Same as P1 — this never changes</t>
        </is>
      </c>
      <c r="K70" s="30" t="inlineStr"/>
      <c r="L70" s="30" t="inlineStr"/>
      <c r="M70" s="30" t="inlineStr"/>
      <c r="N70" s="30" t="inlineStr"/>
      <c r="O70" s="30" t="inlineStr"/>
    </row>
    <row r="71">
      <c r="A71" s="49" t="inlineStr">
        <is>
          <t>P2-D1-CLR-2</t>
        </is>
      </c>
      <c r="B71" s="49" t="inlineStr">
        <is>
          <t>2</t>
        </is>
      </c>
      <c r="C71" s="49" t="inlineStr">
        <is>
          <t>1</t>
        </is>
      </c>
      <c r="D71" s="49" t="inlineStr">
        <is>
          <t>COOLDOWN</t>
        </is>
      </c>
      <c r="E71" s="49" t="inlineStr">
        <is>
          <t>2</t>
        </is>
      </c>
      <c r="F71" s="49" t="inlineStr">
        <is>
          <t>STANDARD</t>
        </is>
      </c>
      <c r="G71" s="49" t="inlineStr">
        <is>
          <t>Couch Stretch</t>
        </is>
      </c>
      <c r="H71" s="49" t="inlineStr">
        <is>
          <t>2</t>
        </is>
      </c>
      <c r="I71" s="49" t="inlineStr">
        <is>
          <t>60s each side</t>
        </is>
      </c>
      <c r="J71" s="49" t="inlineStr">
        <is>
          <t>RIGHT priority</t>
        </is>
      </c>
      <c r="K71" s="49" t="inlineStr"/>
      <c r="L71" s="49" t="inlineStr"/>
      <c r="M71" s="49" t="inlineStr"/>
      <c r="N71" s="49" t="inlineStr"/>
      <c r="O71" s="49" t="inlineStr">
        <is>
          <t>Phase 2: add posterior pelvic tilt AND reach arm overhead</t>
        </is>
      </c>
    </row>
    <row r="72">
      <c r="A72" s="30" t="inlineStr">
        <is>
          <t>P2-D1-CLR-3</t>
        </is>
      </c>
      <c r="B72" s="30" t="inlineStr">
        <is>
          <t>2</t>
        </is>
      </c>
      <c r="C72" s="30" t="inlineStr">
        <is>
          <t>1</t>
        </is>
      </c>
      <c r="D72" s="30" t="inlineStr">
        <is>
          <t>COOLDOWN</t>
        </is>
      </c>
      <c r="E72" s="30" t="inlineStr">
        <is>
          <t>3</t>
        </is>
      </c>
      <c r="F72" s="30" t="inlineStr">
        <is>
          <t>STANDARD</t>
        </is>
      </c>
      <c r="G72" s="30" t="inlineStr">
        <is>
          <t>Butterfly Adductor</t>
        </is>
      </c>
      <c r="H72" s="30" t="inlineStr">
        <is>
          <t>2</t>
        </is>
      </c>
      <c r="I72" s="30" t="inlineStr">
        <is>
          <t>60s</t>
        </is>
      </c>
      <c r="J72" s="30" t="inlineStr">
        <is>
          <t>Lean further than P1</t>
        </is>
      </c>
      <c r="K72" s="30" t="inlineStr"/>
      <c r="L72" s="30" t="inlineStr"/>
      <c r="M72" s="30" t="inlineStr"/>
      <c r="N72" s="30" t="inlineStr"/>
      <c r="O72" s="30" t="inlineStr">
        <is>
          <t>Non-negotiable hip flexor unload</t>
        </is>
      </c>
    </row>
    <row r="73">
      <c r="A73" s="49" t="inlineStr">
        <is>
          <t>P2-D1-CLR-4</t>
        </is>
      </c>
      <c r="B73" s="49" t="inlineStr">
        <is>
          <t>2</t>
        </is>
      </c>
      <c r="C73" s="49" t="inlineStr">
        <is>
          <t>1</t>
        </is>
      </c>
      <c r="D73" s="49" t="inlineStr">
        <is>
          <t>COOLDOWN</t>
        </is>
      </c>
      <c r="E73" s="49" t="inlineStr">
        <is>
          <t>4</t>
        </is>
      </c>
      <c r="F73" s="49" t="inlineStr">
        <is>
          <t>STANDARD</t>
        </is>
      </c>
      <c r="G73" s="49" t="inlineStr">
        <is>
          <t>QL Side Bend</t>
        </is>
      </c>
      <c r="H73" s="49" t="inlineStr">
        <is>
          <t>2</t>
        </is>
      </c>
      <c r="I73" s="49" t="inlineStr">
        <is>
          <t>45s each</t>
        </is>
      </c>
      <c r="J73" s="49" t="inlineStr">
        <is>
          <t>Same as P1</t>
        </is>
      </c>
      <c r="K73" s="49" t="inlineStr"/>
      <c r="L73" s="49" t="inlineStr"/>
      <c r="M73" s="49" t="inlineStr"/>
      <c r="N73" s="49" t="inlineStr"/>
      <c r="O73" s="49" t="inlineStr">
        <is>
          <t>Same cue</t>
        </is>
      </c>
    </row>
    <row r="74">
      <c r="A74" s="30" t="inlineStr">
        <is>
          <t>P2-D3-MOB-1-STD</t>
        </is>
      </c>
      <c r="B74" s="30" t="inlineStr">
        <is>
          <t>2</t>
        </is>
      </c>
      <c r="C74" s="30" t="inlineStr">
        <is>
          <t>3</t>
        </is>
      </c>
      <c r="D74" s="30" t="inlineStr">
        <is>
          <t>MOBILITY</t>
        </is>
      </c>
      <c r="E74" s="30" t="inlineStr">
        <is>
          <t>1</t>
        </is>
      </c>
      <c r="F74" s="30" t="inlineStr">
        <is>
          <t>STANDARD</t>
        </is>
      </c>
      <c r="G74" s="30" t="inlineStr">
        <is>
          <t>Thoracic Rotation with Band</t>
        </is>
      </c>
      <c r="H74" s="30" t="inlineStr">
        <is>
          <t>2</t>
        </is>
      </c>
      <c r="I74" s="30" t="inlineStr">
        <is>
          <t>10 each side</t>
        </is>
      </c>
      <c r="J74" s="30" t="inlineStr">
        <is>
          <t>Same as P1</t>
        </is>
      </c>
      <c r="K74" s="30" t="inlineStr"/>
      <c r="L74" s="30" t="inlineStr"/>
      <c r="M74" s="30" t="inlineStr"/>
      <c r="N74" s="30" t="inlineStr"/>
      <c r="O74" s="30" t="inlineStr">
        <is>
          <t>Same cue</t>
        </is>
      </c>
    </row>
    <row r="75">
      <c r="A75" s="49" t="inlineStr">
        <is>
          <t>P2-D3-MOB-2-STD</t>
        </is>
      </c>
      <c r="B75" s="49" t="inlineStr">
        <is>
          <t>2</t>
        </is>
      </c>
      <c r="C75" s="49" t="inlineStr">
        <is>
          <t>3</t>
        </is>
      </c>
      <c r="D75" s="49" t="inlineStr">
        <is>
          <t>MOBILITY</t>
        </is>
      </c>
      <c r="E75" s="49" t="inlineStr">
        <is>
          <t>2</t>
        </is>
      </c>
      <c r="F75" s="49" t="inlineStr">
        <is>
          <t>STANDARD</t>
        </is>
      </c>
      <c r="G75" s="49" t="inlineStr">
        <is>
          <t>World's Greatest Stretch</t>
        </is>
      </c>
      <c r="H75" s="49" t="inlineStr">
        <is>
          <t>1</t>
        </is>
      </c>
      <c r="I75" s="49" t="inlineStr">
        <is>
          <t>6 each side</t>
        </is>
      </c>
      <c r="J75" s="49" t="inlineStr">
        <is>
          <t>One extra rep per side</t>
        </is>
      </c>
      <c r="K75" s="49" t="inlineStr"/>
      <c r="L75" s="49" t="inlineStr"/>
      <c r="M75" s="49" t="inlineStr"/>
      <c r="N75" s="49" t="inlineStr"/>
      <c r="O75" s="49" t="inlineStr">
        <is>
          <t>Phase 2: hold the rotation at end range 2s</t>
        </is>
      </c>
    </row>
    <row r="76">
      <c r="A76" s="30" t="inlineStr">
        <is>
          <t>P2-D3-MOB-3-STD</t>
        </is>
      </c>
      <c r="B76" s="30" t="inlineStr">
        <is>
          <t>2</t>
        </is>
      </c>
      <c r="C76" s="30" t="inlineStr">
        <is>
          <t>3</t>
        </is>
      </c>
      <c r="D76" s="30" t="inlineStr">
        <is>
          <t>MOBILITY</t>
        </is>
      </c>
      <c r="E76" s="30" t="inlineStr">
        <is>
          <t>3</t>
        </is>
      </c>
      <c r="F76" s="30" t="inlineStr">
        <is>
          <t>STANDARD</t>
        </is>
      </c>
      <c r="G76" s="30" t="inlineStr">
        <is>
          <t>Active Hip Flexor Reach</t>
        </is>
      </c>
      <c r="H76" s="30" t="inlineStr">
        <is>
          <t>2</t>
        </is>
      </c>
      <c r="I76" s="30" t="inlineStr">
        <is>
          <t>45s each</t>
        </is>
      </c>
      <c r="J76" s="30" t="inlineStr">
        <is>
          <t>Same as P1</t>
        </is>
      </c>
      <c r="K76" s="30" t="inlineStr"/>
      <c r="L76" s="30" t="inlineStr"/>
      <c r="M76" s="30" t="inlineStr"/>
      <c r="N76" s="30" t="inlineStr"/>
      <c r="O76" s="30" t="inlineStr">
        <is>
          <t>Same cue</t>
        </is>
      </c>
    </row>
    <row r="77">
      <c r="A77" s="49" t="inlineStr">
        <is>
          <t>P2-D3-STR-1</t>
        </is>
      </c>
      <c r="B77" s="49" t="inlineStr">
        <is>
          <t>2</t>
        </is>
      </c>
      <c r="C77" s="49" t="inlineStr">
        <is>
          <t>3</t>
        </is>
      </c>
      <c r="D77" s="49" t="inlineStr">
        <is>
          <t>STRENGTH</t>
        </is>
      </c>
      <c r="E77" s="49" t="inlineStr">
        <is>
          <t>1</t>
        </is>
      </c>
      <c r="F77" s="49" t="inlineStr">
        <is>
          <t>STANDARD</t>
        </is>
      </c>
      <c r="G77" s="49" t="inlineStr">
        <is>
          <t>Incline Barbell Press</t>
        </is>
      </c>
      <c r="H77" s="49" t="inlineStr">
        <is>
          <t>4</t>
        </is>
      </c>
      <c r="I77" s="49" t="inlineStr">
        <is>
          <t>4 reps</t>
        </is>
      </c>
      <c r="J77" s="49" t="inlineStr">
        <is>
          <t>80% 1RM — heavier than P1</t>
        </is>
      </c>
      <c r="K77" s="49" t="inlineStr">
        <is>
          <t>Explosive Push-up</t>
        </is>
      </c>
      <c r="L77" s="49" t="inlineStr">
        <is>
          <t>4</t>
        </is>
      </c>
      <c r="M77" s="49" t="inlineStr">
        <is>
          <t>6</t>
        </is>
      </c>
      <c r="N77" s="49" t="inlineStr"/>
      <c r="O77" s="49" t="inlineStr">
        <is>
          <t>Phase 2: more PAP volume — 6 explosive push-ups</t>
        </is>
      </c>
    </row>
    <row r="78">
      <c r="A78" s="30" t="inlineStr">
        <is>
          <t>P2-D3-STR-2</t>
        </is>
      </c>
      <c r="B78" s="30" t="inlineStr">
        <is>
          <t>2</t>
        </is>
      </c>
      <c r="C78" s="30" t="inlineStr">
        <is>
          <t>3</t>
        </is>
      </c>
      <c r="D78" s="30" t="inlineStr">
        <is>
          <t>STRENGTH</t>
        </is>
      </c>
      <c r="E78" s="30" t="inlineStr">
        <is>
          <t>2</t>
        </is>
      </c>
      <c r="F78" s="30" t="inlineStr">
        <is>
          <t>STANDARD</t>
        </is>
      </c>
      <c r="G78" s="30" t="inlineStr">
        <is>
          <t>Weighted Dip</t>
        </is>
      </c>
      <c r="H78" s="30" t="inlineStr">
        <is>
          <t>3</t>
        </is>
      </c>
      <c r="I78" s="30" t="inlineStr">
        <is>
          <t>5 reps</t>
        </is>
      </c>
      <c r="J78" s="30" t="inlineStr">
        <is>
          <t>+20-25kg Phase 2</t>
        </is>
      </c>
      <c r="K78" s="30" t="inlineStr">
        <is>
          <t>Clap Push-up</t>
        </is>
      </c>
      <c r="L78" s="30" t="inlineStr">
        <is>
          <t>3</t>
        </is>
      </c>
      <c r="M78" s="30" t="inlineStr">
        <is>
          <t>6</t>
        </is>
      </c>
      <c r="N78" s="30" t="inlineStr"/>
      <c r="O78" s="30" t="inlineStr">
        <is>
          <t>Heavier dip weight this phase</t>
        </is>
      </c>
    </row>
    <row r="79">
      <c r="A79" s="49" t="inlineStr">
        <is>
          <t>P2-D3-STR-3</t>
        </is>
      </c>
      <c r="B79" s="49" t="inlineStr">
        <is>
          <t>2</t>
        </is>
      </c>
      <c r="C79" s="49" t="inlineStr">
        <is>
          <t>3</t>
        </is>
      </c>
      <c r="D79" s="49" t="inlineStr">
        <is>
          <t>STRENGTH</t>
        </is>
      </c>
      <c r="E79" s="49" t="inlineStr">
        <is>
          <t>3</t>
        </is>
      </c>
      <c r="F79" s="49" t="inlineStr">
        <is>
          <t>STANDARD</t>
        </is>
      </c>
      <c r="G79" s="49" t="inlineStr">
        <is>
          <t>Landmine Press (Rotational)</t>
        </is>
      </c>
      <c r="H79" s="49" t="inlineStr">
        <is>
          <t>3</t>
        </is>
      </c>
      <c r="I79" s="49" t="inlineStr">
        <is>
          <t>8 reps each</t>
        </is>
      </c>
      <c r="J79" s="49" t="inlineStr">
        <is>
          <t>Same load — add speed intent</t>
        </is>
      </c>
      <c r="K79" s="49" t="inlineStr"/>
      <c r="L79" s="49" t="inlineStr"/>
      <c r="M79" s="49" t="inlineStr"/>
      <c r="N79" s="49" t="inlineStr"/>
      <c r="O79" s="49" t="inlineStr"/>
    </row>
    <row r="80">
      <c r="A80" s="30" t="inlineStr">
        <is>
          <t>P2-D3-BAG-1</t>
        </is>
      </c>
      <c r="B80" s="30" t="inlineStr">
        <is>
          <t>2</t>
        </is>
      </c>
      <c r="C80" s="30" t="inlineStr">
        <is>
          <t>3</t>
        </is>
      </c>
      <c r="D80" s="30" t="inlineStr">
        <is>
          <t>BAG</t>
        </is>
      </c>
      <c r="E80" s="30" t="inlineStr">
        <is>
          <t>1</t>
        </is>
      </c>
      <c r="F80" s="30" t="inlineStr">
        <is>
          <t>STANDARD</t>
        </is>
      </c>
      <c r="G80" s="30" t="inlineStr">
        <is>
          <t>Bag Work — 5-Strike Combinations</t>
        </is>
      </c>
      <c r="H80" s="30" t="inlineStr">
        <is>
          <t>6</t>
        </is>
      </c>
      <c r="I80" s="30" t="inlineStr">
        <is>
          <t>3 min rounds</t>
        </is>
      </c>
      <c r="J80" s="30" t="inlineStr">
        <is>
          <t>60s rest</t>
        </is>
      </c>
      <c r="K80" s="30" t="inlineStr"/>
      <c r="L80" s="30" t="inlineStr"/>
      <c r="M80" s="30" t="inlineStr"/>
      <c r="N80" s="30" t="inlineStr">
        <is>
          <t>R1-2: 5-punch combos | R3: Overhand + combo | R4: Kickboxing entry | R5: Movement + combo | R6: Power round</t>
        </is>
      </c>
      <c r="O80" s="30" t="inlineStr">
        <is>
          <t>Phase 2: complexity increases. 5-strike combos build multi-hit KO sequences.</t>
        </is>
      </c>
    </row>
    <row r="81">
      <c r="A81" s="49" t="inlineStr">
        <is>
          <t>P2-D3-CLR-1</t>
        </is>
      </c>
      <c r="B81" s="49" t="inlineStr">
        <is>
          <t>2</t>
        </is>
      </c>
      <c r="C81" s="49" t="inlineStr">
        <is>
          <t>3</t>
        </is>
      </c>
      <c r="D81" s="49" t="inlineStr">
        <is>
          <t>COOLDOWN</t>
        </is>
      </c>
      <c r="E81" s="49" t="inlineStr">
        <is>
          <t>1</t>
        </is>
      </c>
      <c r="F81" s="49" t="inlineStr">
        <is>
          <t>STANDARD</t>
        </is>
      </c>
      <c r="G81" s="49" t="inlineStr">
        <is>
          <t>Doorway Chest Stretch</t>
        </is>
      </c>
      <c r="H81" s="49" t="inlineStr">
        <is>
          <t>2</t>
        </is>
      </c>
      <c r="I81" s="49" t="inlineStr">
        <is>
          <t>60s</t>
        </is>
      </c>
      <c r="J81" s="49" t="inlineStr">
        <is>
          <t>Same as P1</t>
        </is>
      </c>
      <c r="K81" s="49" t="inlineStr"/>
      <c r="L81" s="49" t="inlineStr"/>
      <c r="M81" s="49" t="inlineStr"/>
      <c r="N81" s="49" t="inlineStr"/>
      <c r="O81" s="49" t="inlineStr">
        <is>
          <t>Same cue</t>
        </is>
      </c>
    </row>
    <row r="82">
      <c r="A82" s="30" t="inlineStr">
        <is>
          <t>P2-D3-CLR-2</t>
        </is>
      </c>
      <c r="B82" s="30" t="inlineStr">
        <is>
          <t>2</t>
        </is>
      </c>
      <c r="C82" s="30" t="inlineStr">
        <is>
          <t>3</t>
        </is>
      </c>
      <c r="D82" s="30" t="inlineStr">
        <is>
          <t>COOLDOWN</t>
        </is>
      </c>
      <c r="E82" s="30" t="inlineStr">
        <is>
          <t>2</t>
        </is>
      </c>
      <c r="F82" s="30" t="inlineStr">
        <is>
          <t>STANDARD</t>
        </is>
      </c>
      <c r="G82" s="30" t="inlineStr">
        <is>
          <t>Shoulder Cross-Body Rear Delt</t>
        </is>
      </c>
      <c r="H82" s="30" t="inlineStr">
        <is>
          <t>2</t>
        </is>
      </c>
      <c r="I82" s="30" t="inlineStr">
        <is>
          <t>45s each</t>
        </is>
      </c>
      <c r="J82" s="30" t="inlineStr">
        <is>
          <t>Same as P1</t>
        </is>
      </c>
      <c r="K82" s="30" t="inlineStr"/>
      <c r="L82" s="30" t="inlineStr"/>
      <c r="M82" s="30" t="inlineStr"/>
      <c r="N82" s="30" t="inlineStr"/>
      <c r="O82" s="30" t="inlineStr">
        <is>
          <t>Same cue</t>
        </is>
      </c>
    </row>
    <row r="83">
      <c r="A83" s="49" t="inlineStr">
        <is>
          <t>P2-D3-CLR-3</t>
        </is>
      </c>
      <c r="B83" s="49" t="inlineStr">
        <is>
          <t>2</t>
        </is>
      </c>
      <c r="C83" s="49" t="inlineStr">
        <is>
          <t>3</t>
        </is>
      </c>
      <c r="D83" s="49" t="inlineStr">
        <is>
          <t>COOLDOWN</t>
        </is>
      </c>
      <c r="E83" s="49" t="inlineStr">
        <is>
          <t>3</t>
        </is>
      </c>
      <c r="F83" s="49" t="inlineStr">
        <is>
          <t>STANDARD</t>
        </is>
      </c>
      <c r="G83" s="49" t="inlineStr">
        <is>
          <t>Thread-the-Needle T-Spine</t>
        </is>
      </c>
      <c r="H83" s="49" t="inlineStr">
        <is>
          <t>2</t>
        </is>
      </c>
      <c r="I83" s="49" t="inlineStr">
        <is>
          <t>45s each</t>
        </is>
      </c>
      <c r="J83" s="49" t="inlineStr">
        <is>
          <t>Same as P1</t>
        </is>
      </c>
      <c r="K83" s="49" t="inlineStr"/>
      <c r="L83" s="49" t="inlineStr"/>
      <c r="M83" s="49" t="inlineStr"/>
      <c r="N83" s="49" t="inlineStr"/>
      <c r="O83" s="49" t="inlineStr">
        <is>
          <t>Same cue</t>
        </is>
      </c>
    </row>
    <row r="84">
      <c r="A84" s="30" t="inlineStr">
        <is>
          <t>P2-D3-CLR-4</t>
        </is>
      </c>
      <c r="B84" s="30" t="inlineStr">
        <is>
          <t>2</t>
        </is>
      </c>
      <c r="C84" s="30" t="inlineStr">
        <is>
          <t>3</t>
        </is>
      </c>
      <c r="D84" s="30" t="inlineStr">
        <is>
          <t>COOLDOWN</t>
        </is>
      </c>
      <c r="E84" s="30" t="inlineStr">
        <is>
          <t>4</t>
        </is>
      </c>
      <c r="F84" s="30" t="inlineStr">
        <is>
          <t>STANDARD</t>
        </is>
      </c>
      <c r="G84" s="30" t="inlineStr">
        <is>
          <t>Doorway Hip Flexor Lunge</t>
        </is>
      </c>
      <c r="H84" s="30" t="inlineStr">
        <is>
          <t>2</t>
        </is>
      </c>
      <c r="I84" s="30" t="inlineStr">
        <is>
          <t>45s each</t>
        </is>
      </c>
      <c r="J84" s="30" t="inlineStr">
        <is>
          <t>RIGHT priority</t>
        </is>
      </c>
      <c r="K84" s="30" t="inlineStr"/>
      <c r="L84" s="30" t="inlineStr"/>
      <c r="M84" s="30" t="inlineStr"/>
      <c r="N84" s="30" t="inlineStr"/>
      <c r="O84" s="30" t="inlineStr">
        <is>
          <t>Same cue</t>
        </is>
      </c>
    </row>
    <row r="85">
      <c r="A85" s="49" t="inlineStr">
        <is>
          <t>P2-D5-MOB-1-STD</t>
        </is>
      </c>
      <c r="B85" s="49" t="inlineStr">
        <is>
          <t>2</t>
        </is>
      </c>
      <c r="C85" s="49" t="inlineStr">
        <is>
          <t>5</t>
        </is>
      </c>
      <c r="D85" s="49" t="inlineStr">
        <is>
          <t>MOBILITY</t>
        </is>
      </c>
      <c r="E85" s="49" t="inlineStr">
        <is>
          <t>1</t>
        </is>
      </c>
      <c r="F85" s="49" t="inlineStr">
        <is>
          <t>STANDARD</t>
        </is>
      </c>
      <c r="G85" s="49" t="inlineStr">
        <is>
          <t>Cossack Squat + Pause</t>
        </is>
      </c>
      <c r="H85" s="49" t="inlineStr">
        <is>
          <t>2</t>
        </is>
      </c>
      <c r="I85" s="49" t="inlineStr">
        <is>
          <t>6 each side</t>
        </is>
      </c>
      <c r="J85" s="49" t="inlineStr">
        <is>
          <t>2s pause at bottom — loaded stretch</t>
        </is>
      </c>
      <c r="K85" s="49" t="inlineStr"/>
      <c r="L85" s="49" t="inlineStr"/>
      <c r="M85" s="49" t="inlineStr"/>
      <c r="N85" s="49" t="inlineStr"/>
      <c r="O85" s="49" t="inlineStr"/>
    </row>
    <row r="86">
      <c r="A86" s="30" t="inlineStr">
        <is>
          <t>P2-D5-MOB-2-STD</t>
        </is>
      </c>
      <c r="B86" s="30" t="inlineStr">
        <is>
          <t>2</t>
        </is>
      </c>
      <c r="C86" s="30" t="inlineStr">
        <is>
          <t>5</t>
        </is>
      </c>
      <c r="D86" s="30" t="inlineStr">
        <is>
          <t>MOBILITY</t>
        </is>
      </c>
      <c r="E86" s="30" t="inlineStr">
        <is>
          <t>2</t>
        </is>
      </c>
      <c r="F86" s="30" t="inlineStr">
        <is>
          <t>STANDARD</t>
        </is>
      </c>
      <c r="G86" s="30" t="inlineStr">
        <is>
          <t>Band Hip Abduction Standing</t>
        </is>
      </c>
      <c r="H86" s="30" t="inlineStr">
        <is>
          <t>2</t>
        </is>
      </c>
      <c r="I86" s="30" t="inlineStr">
        <is>
          <t>20 reps</t>
        </is>
      </c>
      <c r="J86" s="30" t="inlineStr">
        <is>
          <t>Higher volume</t>
        </is>
      </c>
      <c r="K86" s="30" t="inlineStr"/>
      <c r="L86" s="30" t="inlineStr"/>
      <c r="M86" s="30" t="inlineStr"/>
      <c r="N86" s="30" t="inlineStr"/>
      <c r="O86" s="30" t="inlineStr">
        <is>
          <t>Same cue</t>
        </is>
      </c>
    </row>
    <row r="87">
      <c r="A87" s="49" t="inlineStr">
        <is>
          <t>P2-D5-MOB-3-STD</t>
        </is>
      </c>
      <c r="B87" s="49" t="inlineStr">
        <is>
          <t>2</t>
        </is>
      </c>
      <c r="C87" s="49" t="inlineStr">
        <is>
          <t>5</t>
        </is>
      </c>
      <c r="D87" s="49" t="inlineStr">
        <is>
          <t>MOBILITY</t>
        </is>
      </c>
      <c r="E87" s="49" t="inlineStr">
        <is>
          <t>3</t>
        </is>
      </c>
      <c r="F87" s="49" t="inlineStr">
        <is>
          <t>STANDARD</t>
        </is>
      </c>
      <c r="G87" s="49" t="inlineStr">
        <is>
          <t>Lateral Lunge Adductor</t>
        </is>
      </c>
      <c r="H87" s="49" t="inlineStr">
        <is>
          <t>2</t>
        </is>
      </c>
      <c r="I87" s="49" t="inlineStr">
        <is>
          <t>8 each side</t>
        </is>
      </c>
      <c r="J87" s="49" t="inlineStr">
        <is>
          <t>Deeper than Phase 1</t>
        </is>
      </c>
      <c r="K87" s="49" t="inlineStr"/>
      <c r="L87" s="49" t="inlineStr"/>
      <c r="M87" s="49" t="inlineStr"/>
      <c r="N87" s="49" t="inlineStr"/>
      <c r="O87" s="49" t="inlineStr"/>
    </row>
    <row r="88">
      <c r="A88" s="30" t="inlineStr">
        <is>
          <t>P2-D5-MOB-4-STD</t>
        </is>
      </c>
      <c r="B88" s="30" t="inlineStr">
        <is>
          <t>2</t>
        </is>
      </c>
      <c r="C88" s="30" t="inlineStr">
        <is>
          <t>5</t>
        </is>
      </c>
      <c r="D88" s="30" t="inlineStr">
        <is>
          <t>MOBILITY</t>
        </is>
      </c>
      <c r="E88" s="30" t="inlineStr">
        <is>
          <t>4</t>
        </is>
      </c>
      <c r="F88" s="30" t="inlineStr">
        <is>
          <t>STANDARD</t>
        </is>
      </c>
      <c r="G88" s="30" t="inlineStr">
        <is>
          <t>Hip Flexion + External Rotation</t>
        </is>
      </c>
      <c r="H88" s="30" t="inlineStr">
        <is>
          <t>2</t>
        </is>
      </c>
      <c r="I88" s="30" t="inlineStr">
        <is>
          <t>45s each</t>
        </is>
      </c>
      <c r="J88" s="30" t="inlineStr">
        <is>
          <t>Same as P1 — RIGHT priority</t>
        </is>
      </c>
      <c r="K88" s="30" t="inlineStr"/>
      <c r="L88" s="30" t="inlineStr"/>
      <c r="M88" s="30" t="inlineStr"/>
      <c r="N88" s="30" t="inlineStr"/>
      <c r="O88" s="30" t="inlineStr">
        <is>
          <t>Same cue</t>
        </is>
      </c>
    </row>
    <row r="89">
      <c r="A89" s="49" t="inlineStr">
        <is>
          <t>P2-D5-MOB-5-STD</t>
        </is>
      </c>
      <c r="B89" s="49" t="inlineStr">
        <is>
          <t>2</t>
        </is>
      </c>
      <c r="C89" s="49" t="inlineStr">
        <is>
          <t>5</t>
        </is>
      </c>
      <c r="D89" s="49" t="inlineStr">
        <is>
          <t>MOBILITY</t>
        </is>
      </c>
      <c r="E89" s="49" t="inlineStr">
        <is>
          <t>5</t>
        </is>
      </c>
      <c r="F89" s="49" t="inlineStr">
        <is>
          <t>STANDARD</t>
        </is>
      </c>
      <c r="G89" s="49" t="inlineStr">
        <is>
          <t>Supine Hip CARs</t>
        </is>
      </c>
      <c r="H89" s="49" t="inlineStr">
        <is>
          <t>2</t>
        </is>
      </c>
      <c r="I89" s="49" t="inlineStr">
        <is>
          <t>6 each direction</t>
        </is>
      </c>
      <c r="J89" s="49" t="inlineStr">
        <is>
          <t>One extra rep per direction</t>
        </is>
      </c>
      <c r="K89" s="49" t="inlineStr"/>
      <c r="L89" s="49" t="inlineStr"/>
      <c r="M89" s="49" t="inlineStr"/>
      <c r="N89" s="49" t="inlineStr"/>
      <c r="O89" s="49" t="inlineStr">
        <is>
          <t>Same cue</t>
        </is>
      </c>
    </row>
    <row r="90">
      <c r="A90" s="30" t="inlineStr">
        <is>
          <t>P2-D5-MOB-1-HA</t>
        </is>
      </c>
      <c r="B90" s="30" t="inlineStr">
        <is>
          <t>2</t>
        </is>
      </c>
      <c r="C90" s="30" t="inlineStr">
        <is>
          <t>5</t>
        </is>
      </c>
      <c r="D90" s="30" t="inlineStr">
        <is>
          <t>MOBILITY</t>
        </is>
      </c>
      <c r="E90" s="30" t="inlineStr">
        <is>
          <t>1</t>
        </is>
      </c>
      <c r="F90" s="30" t="inlineStr">
        <is>
          <t>HIGH_ALERT</t>
        </is>
      </c>
      <c r="G90" s="30" t="inlineStr">
        <is>
          <t>Hip CARs (Slow)</t>
        </is>
      </c>
      <c r="H90" s="30" t="inlineStr">
        <is>
          <t>2</t>
        </is>
      </c>
      <c r="I90" s="30" t="inlineStr">
        <is>
          <t>5 each direction</t>
        </is>
      </c>
      <c r="J90" s="30" t="inlineStr">
        <is>
          <t>Same as P1 HIGH_ALERT</t>
        </is>
      </c>
      <c r="K90" s="30" t="inlineStr"/>
      <c r="L90" s="30" t="inlineStr"/>
      <c r="M90" s="30" t="inlineStr"/>
      <c r="N90" s="30" t="inlineStr"/>
      <c r="O90" s="30" t="inlineStr">
        <is>
          <t>Same cue</t>
        </is>
      </c>
    </row>
    <row r="91">
      <c r="A91" s="49" t="inlineStr">
        <is>
          <t>P2-D5-MOB-2-HA</t>
        </is>
      </c>
      <c r="B91" s="49" t="inlineStr">
        <is>
          <t>2</t>
        </is>
      </c>
      <c r="C91" s="49" t="inlineStr">
        <is>
          <t>5</t>
        </is>
      </c>
      <c r="D91" s="49" t="inlineStr">
        <is>
          <t>MOBILITY</t>
        </is>
      </c>
      <c r="E91" s="49" t="inlineStr">
        <is>
          <t>2</t>
        </is>
      </c>
      <c r="F91" s="49" t="inlineStr">
        <is>
          <t>HIGH_ALERT</t>
        </is>
      </c>
      <c r="G91" s="49" t="inlineStr">
        <is>
          <t>90/90 Stretch (Both positions)</t>
        </is>
      </c>
      <c r="H91" s="49" t="inlineStr">
        <is>
          <t>3</t>
        </is>
      </c>
      <c r="I91" s="49" t="inlineStr">
        <is>
          <t>90s each side</t>
        </is>
      </c>
      <c r="J91" s="49" t="inlineStr">
        <is>
          <t>RIGHT side non-negotiable</t>
        </is>
      </c>
      <c r="K91" s="49" t="inlineStr"/>
      <c r="L91" s="49" t="inlineStr"/>
      <c r="M91" s="49" t="inlineStr"/>
      <c r="N91" s="49" t="inlineStr"/>
      <c r="O91" s="49" t="inlineStr">
        <is>
          <t>Same as P1</t>
        </is>
      </c>
    </row>
    <row r="92">
      <c r="A92" s="30" t="inlineStr">
        <is>
          <t>P2-D5-MOB-3-HA</t>
        </is>
      </c>
      <c r="B92" s="30" t="inlineStr">
        <is>
          <t>2</t>
        </is>
      </c>
      <c r="C92" s="30" t="inlineStr">
        <is>
          <t>5</t>
        </is>
      </c>
      <c r="D92" s="30" t="inlineStr">
        <is>
          <t>MOBILITY</t>
        </is>
      </c>
      <c r="E92" s="30" t="inlineStr">
        <is>
          <t>3</t>
        </is>
      </c>
      <c r="F92" s="30" t="inlineStr">
        <is>
          <t>HIGH_ALERT</t>
        </is>
      </c>
      <c r="G92" s="30" t="inlineStr">
        <is>
          <t>Adductor PAILs-RAILs</t>
        </is>
      </c>
      <c r="H92" s="30" t="inlineStr">
        <is>
          <t>2</t>
        </is>
      </c>
      <c r="I92" s="30" t="inlineStr">
        <is>
          <t>45s each</t>
        </is>
      </c>
      <c r="J92" s="30" t="inlineStr">
        <is>
          <t>Same as P1</t>
        </is>
      </c>
      <c r="K92" s="30" t="inlineStr"/>
      <c r="L92" s="30" t="inlineStr"/>
      <c r="M92" s="30" t="inlineStr"/>
      <c r="N92" s="30" t="inlineStr"/>
      <c r="O92" s="30" t="inlineStr">
        <is>
          <t>Same cue</t>
        </is>
      </c>
    </row>
    <row r="93">
      <c r="A93" s="49" t="inlineStr">
        <is>
          <t>P2-D5-MOB-4-HA</t>
        </is>
      </c>
      <c r="B93" s="49" t="inlineStr">
        <is>
          <t>2</t>
        </is>
      </c>
      <c r="C93" s="49" t="inlineStr">
        <is>
          <t>5</t>
        </is>
      </c>
      <c r="D93" s="49" t="inlineStr">
        <is>
          <t>MOBILITY</t>
        </is>
      </c>
      <c r="E93" s="49" t="inlineStr">
        <is>
          <t>4</t>
        </is>
      </c>
      <c r="F93" s="49" t="inlineStr">
        <is>
          <t>HIGH_ALERT</t>
        </is>
      </c>
      <c r="G93" s="49" t="inlineStr">
        <is>
          <t>Prone Hip Extension + Hold</t>
        </is>
      </c>
      <c r="H93" s="49" t="inlineStr">
        <is>
          <t>2</t>
        </is>
      </c>
      <c r="I93" s="49" t="inlineStr">
        <is>
          <t>60s each</t>
        </is>
      </c>
      <c r="J93" s="49" t="inlineStr">
        <is>
          <t>Hold at top 5s</t>
        </is>
      </c>
      <c r="K93" s="49" t="inlineStr"/>
      <c r="L93" s="49" t="inlineStr"/>
      <c r="M93" s="49" t="inlineStr"/>
      <c r="N93" s="49" t="inlineStr"/>
      <c r="O93" s="49" t="inlineStr">
        <is>
          <t>Same as P1 HIGH_ALERT</t>
        </is>
      </c>
    </row>
    <row r="94">
      <c r="A94" s="30" t="inlineStr">
        <is>
          <t>P2-D5-MOB-5-HA</t>
        </is>
      </c>
      <c r="B94" s="30" t="inlineStr">
        <is>
          <t>2</t>
        </is>
      </c>
      <c r="C94" s="30" t="inlineStr">
        <is>
          <t>5</t>
        </is>
      </c>
      <c r="D94" s="30" t="inlineStr">
        <is>
          <t>MOBILITY</t>
        </is>
      </c>
      <c r="E94" s="30" t="inlineStr">
        <is>
          <t>5</t>
        </is>
      </c>
      <c r="F94" s="30" t="inlineStr">
        <is>
          <t>HIGH_ALERT</t>
        </is>
      </c>
      <c r="G94" s="30" t="inlineStr">
        <is>
          <t>Lying Hip IR + Traction</t>
        </is>
      </c>
      <c r="H94" s="30" t="inlineStr">
        <is>
          <t>2</t>
        </is>
      </c>
      <c r="I94" s="30" t="inlineStr">
        <is>
          <t>60s each</t>
        </is>
      </c>
      <c r="J94" s="30" t="inlineStr">
        <is>
          <t>Same as P1</t>
        </is>
      </c>
      <c r="K94" s="30" t="inlineStr"/>
      <c r="L94" s="30" t="inlineStr"/>
      <c r="M94" s="30" t="inlineStr"/>
      <c r="N94" s="30" t="inlineStr"/>
      <c r="O94" s="30" t="inlineStr">
        <is>
          <t>Same cue</t>
        </is>
      </c>
    </row>
    <row r="95">
      <c r="A95" s="49" t="inlineStr">
        <is>
          <t>P2-D5-STR-1</t>
        </is>
      </c>
      <c r="B95" s="49" t="inlineStr">
        <is>
          <t>2</t>
        </is>
      </c>
      <c r="C95" s="49" t="inlineStr">
        <is>
          <t>5</t>
        </is>
      </c>
      <c r="D95" s="49" t="inlineStr">
        <is>
          <t>STRENGTH</t>
        </is>
      </c>
      <c r="E95" s="49" t="inlineStr">
        <is>
          <t>1</t>
        </is>
      </c>
      <c r="F95" s="49" t="inlineStr">
        <is>
          <t>STANDARD</t>
        </is>
      </c>
      <c r="G95" s="49" t="inlineStr">
        <is>
          <t>Bulgarian Split Squat</t>
        </is>
      </c>
      <c r="H95" s="49" t="inlineStr">
        <is>
          <t>4</t>
        </is>
      </c>
      <c r="I95" s="49" t="inlineStr">
        <is>
          <t>5 reps each</t>
        </is>
      </c>
      <c r="J95" s="49" t="inlineStr">
        <is>
          <t>Add load this phase — +5 to 10kg</t>
        </is>
      </c>
      <c r="K95" s="49" t="inlineStr">
        <is>
          <t>Single-Leg Box Jump</t>
        </is>
      </c>
      <c r="L95" s="49" t="inlineStr">
        <is>
          <t>4</t>
        </is>
      </c>
      <c r="M95" s="49" t="inlineStr">
        <is>
          <t>3</t>
        </is>
      </c>
      <c r="N95" s="49" t="inlineStr"/>
      <c r="O95" s="49" t="inlineStr">
        <is>
          <t>Phase 2: add weight — drive through the glute not the quad</t>
        </is>
      </c>
    </row>
    <row r="96">
      <c r="A96" s="30" t="inlineStr">
        <is>
          <t>P2-D5-STR-2</t>
        </is>
      </c>
      <c r="B96" s="30" t="inlineStr">
        <is>
          <t>2</t>
        </is>
      </c>
      <c r="C96" s="30" t="inlineStr">
        <is>
          <t>5</t>
        </is>
      </c>
      <c r="D96" s="30" t="inlineStr">
        <is>
          <t>STRENGTH</t>
        </is>
      </c>
      <c r="E96" s="30" t="inlineStr">
        <is>
          <t>2</t>
        </is>
      </c>
      <c r="F96" s="30" t="inlineStr">
        <is>
          <t>STANDARD</t>
        </is>
      </c>
      <c r="G96" s="30" t="inlineStr">
        <is>
          <t>Single-Leg RDL + Pause</t>
        </is>
      </c>
      <c r="H96" s="30" t="inlineStr">
        <is>
          <t>3</t>
        </is>
      </c>
      <c r="I96" s="30" t="inlineStr">
        <is>
          <t>8 each</t>
        </is>
      </c>
      <c r="J96" s="30" t="inlineStr">
        <is>
          <t>2s pause at bottom — hamstring load</t>
        </is>
      </c>
      <c r="K96" s="30" t="inlineStr"/>
      <c r="L96" s="30" t="inlineStr"/>
      <c r="M96" s="30" t="inlineStr"/>
      <c r="N96" s="30" t="inlineStr"/>
      <c r="O96" s="30" t="inlineStr"/>
    </row>
    <row r="97">
      <c r="A97" s="49" t="inlineStr">
        <is>
          <t>P2-D5-STR-3</t>
        </is>
      </c>
      <c r="B97" s="49" t="inlineStr">
        <is>
          <t>2</t>
        </is>
      </c>
      <c r="C97" s="49" t="inlineStr">
        <is>
          <t>5</t>
        </is>
      </c>
      <c r="D97" s="49" t="inlineStr">
        <is>
          <t>STRENGTH</t>
        </is>
      </c>
      <c r="E97" s="49" t="inlineStr">
        <is>
          <t>3</t>
        </is>
      </c>
      <c r="F97" s="49" t="inlineStr">
        <is>
          <t>STANDARD</t>
        </is>
      </c>
      <c r="G97" s="49" t="inlineStr">
        <is>
          <t>Copenhagen Plank</t>
        </is>
      </c>
      <c r="H97" s="49" t="inlineStr">
        <is>
          <t>3</t>
        </is>
      </c>
      <c r="I97" s="49" t="inlineStr">
        <is>
          <t>25s each</t>
        </is>
      </c>
      <c r="J97" s="49" t="inlineStr">
        <is>
          <t>Longer hold than P1</t>
        </is>
      </c>
      <c r="K97" s="49" t="inlineStr"/>
      <c r="L97" s="49" t="inlineStr"/>
      <c r="M97" s="49" t="inlineStr"/>
      <c r="N97" s="49" t="inlineStr"/>
      <c r="O97" s="49" t="inlineStr"/>
    </row>
    <row r="98">
      <c r="A98" s="30" t="inlineStr">
        <is>
          <t>P2-D5-STR-4</t>
        </is>
      </c>
      <c r="B98" s="30" t="inlineStr">
        <is>
          <t>2</t>
        </is>
      </c>
      <c r="C98" s="30" t="inlineStr">
        <is>
          <t>5</t>
        </is>
      </c>
      <c r="D98" s="30" t="inlineStr">
        <is>
          <t>STRENGTH</t>
        </is>
      </c>
      <c r="E98" s="30" t="inlineStr">
        <is>
          <t>4</t>
        </is>
      </c>
      <c r="F98" s="30" t="inlineStr">
        <is>
          <t>STANDARD</t>
        </is>
      </c>
      <c r="G98" s="30" t="inlineStr">
        <is>
          <t>Single-Leg Hip Thrust + Pause</t>
        </is>
      </c>
      <c r="H98" s="30" t="inlineStr">
        <is>
          <t>3</t>
        </is>
      </c>
      <c r="I98" s="30" t="inlineStr">
        <is>
          <t>10 each</t>
        </is>
      </c>
      <c r="J98" s="30" t="inlineStr">
        <is>
          <t>2s pause at top</t>
        </is>
      </c>
      <c r="K98" s="30" t="inlineStr"/>
      <c r="L98" s="30" t="inlineStr"/>
      <c r="M98" s="30" t="inlineStr"/>
      <c r="N98" s="30" t="inlineStr"/>
      <c r="O98" s="30" t="inlineStr"/>
    </row>
    <row r="99">
      <c r="A99" s="49" t="inlineStr">
        <is>
          <t>P2-D5-BAG-1</t>
        </is>
      </c>
      <c r="B99" s="49" t="inlineStr">
        <is>
          <t>2</t>
        </is>
      </c>
      <c r="C99" s="49" t="inlineStr">
        <is>
          <t>5</t>
        </is>
      </c>
      <c r="D99" s="49" t="inlineStr">
        <is>
          <t>BAG</t>
        </is>
      </c>
      <c r="E99" s="49" t="inlineStr">
        <is>
          <t>1</t>
        </is>
      </c>
      <c r="F99" s="49" t="inlineStr">
        <is>
          <t>STANDARD</t>
        </is>
      </c>
      <c r="G99" s="49" t="inlineStr">
        <is>
          <t>Bag Work — Full Roundhouse Integration</t>
        </is>
      </c>
      <c r="H99" s="49" t="inlineStr">
        <is>
          <t>6</t>
        </is>
      </c>
      <c r="I99" s="49" t="inlineStr">
        <is>
          <t>3 min rounds</t>
        </is>
      </c>
      <c r="J99" s="49" t="inlineStr">
        <is>
          <t>60s rest</t>
        </is>
      </c>
      <c r="K99" s="49" t="inlineStr"/>
      <c r="L99" s="49" t="inlineStr"/>
      <c r="M99" s="49" t="inlineStr"/>
      <c r="N99" s="49" t="inlineStr">
        <is>
          <t>R1-2: Jab-Cross + High Kick setup | R3: Body kick | R4: Switch kick | R5: 3-punch + kick combo | R6: All-out sparring pace</t>
        </is>
      </c>
      <c r="O99" s="49" t="inlineStr">
        <is>
          <t>Phase 2: kicks are now primary weapons. Set them up correctly.</t>
        </is>
      </c>
    </row>
    <row r="100">
      <c r="A100" s="30" t="inlineStr">
        <is>
          <t>P2-D5-CLR-1</t>
        </is>
      </c>
      <c r="B100" s="30" t="inlineStr">
        <is>
          <t>2</t>
        </is>
      </c>
      <c r="C100" s="30" t="inlineStr">
        <is>
          <t>5</t>
        </is>
      </c>
      <c r="D100" s="30" t="inlineStr">
        <is>
          <t>COOLDOWN</t>
        </is>
      </c>
      <c r="E100" s="30" t="inlineStr">
        <is>
          <t>1</t>
        </is>
      </c>
      <c r="F100" s="30" t="inlineStr">
        <is>
          <t>STANDARD</t>
        </is>
      </c>
      <c r="G100" s="30" t="inlineStr">
        <is>
          <t>Pigeon Pose EXTENDED</t>
        </is>
      </c>
      <c r="H100" s="30" t="inlineStr">
        <is>
          <t>3</t>
        </is>
      </c>
      <c r="I100" s="30" t="inlineStr">
        <is>
          <t>90s each side</t>
        </is>
      </c>
      <c r="J100" s="30" t="inlineStr">
        <is>
          <t>Same non-negotiable</t>
        </is>
      </c>
      <c r="K100" s="30" t="inlineStr"/>
      <c r="L100" s="30" t="inlineStr"/>
      <c r="M100" s="30" t="inlineStr"/>
      <c r="N100" s="30" t="inlineStr"/>
      <c r="O100" s="30" t="inlineStr">
        <is>
          <t>Same cue — never skip this</t>
        </is>
      </c>
    </row>
    <row r="101">
      <c r="A101" s="49" t="inlineStr">
        <is>
          <t>P2-D5-CLR-2</t>
        </is>
      </c>
      <c r="B101" s="49" t="inlineStr">
        <is>
          <t>2</t>
        </is>
      </c>
      <c r="C101" s="49" t="inlineStr">
        <is>
          <t>5</t>
        </is>
      </c>
      <c r="D101" s="49" t="inlineStr">
        <is>
          <t>COOLDOWN</t>
        </is>
      </c>
      <c r="E101" s="49" t="inlineStr">
        <is>
          <t>2</t>
        </is>
      </c>
      <c r="F101" s="49" t="inlineStr">
        <is>
          <t>STANDARD</t>
        </is>
      </c>
      <c r="G101" s="49" t="inlineStr">
        <is>
          <t>Prone Hip Extension</t>
        </is>
      </c>
      <c r="H101" s="49" t="inlineStr">
        <is>
          <t>2</t>
        </is>
      </c>
      <c r="I101" s="49" t="inlineStr">
        <is>
          <t>60s each</t>
        </is>
      </c>
      <c r="J101" s="49" t="inlineStr">
        <is>
          <t>Same as P1</t>
        </is>
      </c>
      <c r="K101" s="49" t="inlineStr"/>
      <c r="L101" s="49" t="inlineStr"/>
      <c r="M101" s="49" t="inlineStr"/>
      <c r="N101" s="49" t="inlineStr"/>
      <c r="O101" s="49" t="inlineStr">
        <is>
          <t>Same cue</t>
        </is>
      </c>
    </row>
    <row r="102">
      <c r="A102" s="30" t="inlineStr">
        <is>
          <t>P2-D5-CLR-3</t>
        </is>
      </c>
      <c r="B102" s="30" t="inlineStr">
        <is>
          <t>2</t>
        </is>
      </c>
      <c r="C102" s="30" t="inlineStr">
        <is>
          <t>5</t>
        </is>
      </c>
      <c r="D102" s="30" t="inlineStr">
        <is>
          <t>COOLDOWN</t>
        </is>
      </c>
      <c r="E102" s="30" t="inlineStr">
        <is>
          <t>3</t>
        </is>
      </c>
      <c r="F102" s="30" t="inlineStr">
        <is>
          <t>STANDARD</t>
        </is>
      </c>
      <c r="G102" s="30" t="inlineStr">
        <is>
          <t>Child's Pose + Hip Shift</t>
        </is>
      </c>
      <c r="H102" s="30" t="inlineStr">
        <is>
          <t>2</t>
        </is>
      </c>
      <c r="I102" s="30" t="inlineStr">
        <is>
          <t>60s each</t>
        </is>
      </c>
      <c r="J102" s="30" t="inlineStr">
        <is>
          <t>Same as P1</t>
        </is>
      </c>
      <c r="K102" s="30" t="inlineStr"/>
      <c r="L102" s="30" t="inlineStr"/>
      <c r="M102" s="30" t="inlineStr"/>
      <c r="N102" s="30" t="inlineStr"/>
      <c r="O102" s="30" t="inlineStr">
        <is>
          <t>Same cue</t>
        </is>
      </c>
    </row>
    <row r="103">
      <c r="A103" s="49" t="inlineStr">
        <is>
          <t>P2-D5-CLR-4</t>
        </is>
      </c>
      <c r="B103" s="49" t="inlineStr">
        <is>
          <t>2</t>
        </is>
      </c>
      <c r="C103" s="49" t="inlineStr">
        <is>
          <t>5</t>
        </is>
      </c>
      <c r="D103" s="49" t="inlineStr">
        <is>
          <t>COOLDOWN</t>
        </is>
      </c>
      <c r="E103" s="49" t="inlineStr">
        <is>
          <t>4</t>
        </is>
      </c>
      <c r="F103" s="49" t="inlineStr">
        <is>
          <t>STANDARD</t>
        </is>
      </c>
      <c r="G103" s="49" t="inlineStr">
        <is>
          <t>Side-Lying Hip Abduction Hold</t>
        </is>
      </c>
      <c r="H103" s="49" t="inlineStr">
        <is>
          <t>2</t>
        </is>
      </c>
      <c r="I103" s="49" t="inlineStr">
        <is>
          <t>45s each</t>
        </is>
      </c>
      <c r="J103" s="49" t="inlineStr">
        <is>
          <t>Same as P1</t>
        </is>
      </c>
      <c r="K103" s="49" t="inlineStr"/>
      <c r="L103" s="49" t="inlineStr"/>
      <c r="M103" s="49" t="inlineStr"/>
      <c r="N103" s="49" t="inlineStr"/>
      <c r="O103" s="49" t="inlineStr">
        <is>
          <t>Same cue</t>
        </is>
      </c>
    </row>
    <row r="104">
      <c r="A104" s="30" t="inlineStr">
        <is>
          <t>P2-D5-CLR-5</t>
        </is>
      </c>
      <c r="B104" s="30" t="inlineStr">
        <is>
          <t>2</t>
        </is>
      </c>
      <c r="C104" s="30" t="inlineStr">
        <is>
          <t>5</t>
        </is>
      </c>
      <c r="D104" s="30" t="inlineStr">
        <is>
          <t>COOLDOWN</t>
        </is>
      </c>
      <c r="E104" s="30" t="inlineStr">
        <is>
          <t>5</t>
        </is>
      </c>
      <c r="F104" s="30" t="inlineStr">
        <is>
          <t>STANDARD</t>
        </is>
      </c>
      <c r="G104" s="30" t="inlineStr">
        <is>
          <t>Supine Spinal Twist</t>
        </is>
      </c>
      <c r="H104" s="30" t="inlineStr">
        <is>
          <t>2</t>
        </is>
      </c>
      <c r="I104" s="30" t="inlineStr">
        <is>
          <t>60s each</t>
        </is>
      </c>
      <c r="J104" s="30" t="inlineStr">
        <is>
          <t>Same as P1</t>
        </is>
      </c>
      <c r="K104" s="30" t="inlineStr"/>
      <c r="L104" s="30" t="inlineStr"/>
      <c r="M104" s="30" t="inlineStr"/>
      <c r="N104" s="30" t="inlineStr"/>
      <c r="O104" s="30" t="inlineStr">
        <is>
          <t>Same cue</t>
        </is>
      </c>
    </row>
    <row r="105">
      <c r="A105" s="49" t="inlineStr">
        <is>
          <t>P2-D6-MOB-1-STD</t>
        </is>
      </c>
      <c r="B105" s="49" t="inlineStr">
        <is>
          <t>2</t>
        </is>
      </c>
      <c r="C105" s="49" t="inlineStr">
        <is>
          <t>6</t>
        </is>
      </c>
      <c r="D105" s="49" t="inlineStr">
        <is>
          <t>MOBILITY</t>
        </is>
      </c>
      <c r="E105" s="49" t="inlineStr">
        <is>
          <t>1</t>
        </is>
      </c>
      <c r="F105" s="49" t="inlineStr">
        <is>
          <t>STANDARD</t>
        </is>
      </c>
      <c r="G105" s="49" t="inlineStr">
        <is>
          <t>Band Pull-Apart</t>
        </is>
      </c>
      <c r="H105" s="49" t="inlineStr">
        <is>
          <t>2</t>
        </is>
      </c>
      <c r="I105" s="49" t="inlineStr">
        <is>
          <t>15 reps</t>
        </is>
      </c>
      <c r="J105" s="49" t="inlineStr">
        <is>
          <t>Same as P1</t>
        </is>
      </c>
      <c r="K105" s="49" t="inlineStr"/>
      <c r="L105" s="49" t="inlineStr"/>
      <c r="M105" s="49" t="inlineStr"/>
      <c r="N105" s="49" t="inlineStr"/>
      <c r="O105" s="49" t="inlineStr">
        <is>
          <t>Same cue</t>
        </is>
      </c>
    </row>
    <row r="106">
      <c r="A106" s="30" t="inlineStr">
        <is>
          <t>P2-D6-MOB-2-STD</t>
        </is>
      </c>
      <c r="B106" s="30" t="inlineStr">
        <is>
          <t>2</t>
        </is>
      </c>
      <c r="C106" s="30" t="inlineStr">
        <is>
          <t>6</t>
        </is>
      </c>
      <c r="D106" s="30" t="inlineStr">
        <is>
          <t>MOBILITY</t>
        </is>
      </c>
      <c r="E106" s="30" t="inlineStr">
        <is>
          <t>2</t>
        </is>
      </c>
      <c r="F106" s="30" t="inlineStr">
        <is>
          <t>STANDARD</t>
        </is>
      </c>
      <c r="G106" s="30" t="inlineStr">
        <is>
          <t>Scapular Wall Slides</t>
        </is>
      </c>
      <c r="H106" s="30" t="inlineStr">
        <is>
          <t>2</t>
        </is>
      </c>
      <c r="I106" s="30" t="inlineStr">
        <is>
          <t>10 reps</t>
        </is>
      </c>
      <c r="J106" s="30" t="inlineStr">
        <is>
          <t>Same as P1</t>
        </is>
      </c>
      <c r="K106" s="30" t="inlineStr"/>
      <c r="L106" s="30" t="inlineStr"/>
      <c r="M106" s="30" t="inlineStr"/>
      <c r="N106" s="30" t="inlineStr"/>
      <c r="O106" s="30" t="inlineStr">
        <is>
          <t>Same cue</t>
        </is>
      </c>
    </row>
    <row r="107">
      <c r="A107" s="49" t="inlineStr">
        <is>
          <t>P2-D6-MOB-3-STD</t>
        </is>
      </c>
      <c r="B107" s="49" t="inlineStr">
        <is>
          <t>2</t>
        </is>
      </c>
      <c r="C107" s="49" t="inlineStr">
        <is>
          <t>6</t>
        </is>
      </c>
      <c r="D107" s="49" t="inlineStr">
        <is>
          <t>MOBILITY</t>
        </is>
      </c>
      <c r="E107" s="49" t="inlineStr">
        <is>
          <t>3</t>
        </is>
      </c>
      <c r="F107" s="49" t="inlineStr">
        <is>
          <t>STANDARD</t>
        </is>
      </c>
      <c r="G107" s="49" t="inlineStr">
        <is>
          <t>T-Spine Extension over Foam Roller</t>
        </is>
      </c>
      <c r="H107" s="49" t="inlineStr">
        <is>
          <t>2</t>
        </is>
      </c>
      <c r="I107" s="49" t="inlineStr">
        <is>
          <t>10 reps</t>
        </is>
      </c>
      <c r="J107" s="49" t="inlineStr">
        <is>
          <t>Same as P1</t>
        </is>
      </c>
      <c r="K107" s="49" t="inlineStr"/>
      <c r="L107" s="49" t="inlineStr"/>
      <c r="M107" s="49" t="inlineStr"/>
      <c r="N107" s="49" t="inlineStr"/>
      <c r="O107" s="49" t="inlineStr">
        <is>
          <t>Same cue</t>
        </is>
      </c>
    </row>
    <row r="108">
      <c r="A108" s="30" t="inlineStr">
        <is>
          <t>P2-D6-STR-1</t>
        </is>
      </c>
      <c r="B108" s="30" t="inlineStr">
        <is>
          <t>2</t>
        </is>
      </c>
      <c r="C108" s="30" t="inlineStr">
        <is>
          <t>6</t>
        </is>
      </c>
      <c r="D108" s="30" t="inlineStr">
        <is>
          <t>STRENGTH</t>
        </is>
      </c>
      <c r="E108" s="30" t="inlineStr">
        <is>
          <t>1</t>
        </is>
      </c>
      <c r="F108" s="30" t="inlineStr">
        <is>
          <t>STANDARD</t>
        </is>
      </c>
      <c r="G108" s="30" t="inlineStr">
        <is>
          <t>Weighted Pull-up</t>
        </is>
      </c>
      <c r="H108" s="30" t="inlineStr">
        <is>
          <t>4</t>
        </is>
      </c>
      <c r="I108" s="30" t="inlineStr">
        <is>
          <t>3-4 reps</t>
        </is>
      </c>
      <c r="J108" s="30" t="inlineStr">
        <is>
          <t>+25kg Phase 2 — heavier than P1</t>
        </is>
      </c>
      <c r="K108" s="30" t="inlineStr">
        <is>
          <t>Explosive Pull-up (BW)</t>
        </is>
      </c>
      <c r="L108" s="30" t="inlineStr">
        <is>
          <t>4</t>
        </is>
      </c>
      <c r="M108" s="30" t="inlineStr">
        <is>
          <t>6</t>
        </is>
      </c>
      <c r="N108" s="30" t="inlineStr"/>
      <c r="O108" s="30" t="inlineStr">
        <is>
          <t>Phase 2: heavier. More PAP volume.</t>
        </is>
      </c>
    </row>
    <row r="109">
      <c r="A109" s="49" t="inlineStr">
        <is>
          <t>P2-D6-STR-2</t>
        </is>
      </c>
      <c r="B109" s="49" t="inlineStr">
        <is>
          <t>2</t>
        </is>
      </c>
      <c r="C109" s="49" t="inlineStr">
        <is>
          <t>6</t>
        </is>
      </c>
      <c r="D109" s="49" t="inlineStr">
        <is>
          <t>STRENGTH</t>
        </is>
      </c>
      <c r="E109" s="49" t="inlineStr">
        <is>
          <t>2</t>
        </is>
      </c>
      <c r="F109" s="49" t="inlineStr">
        <is>
          <t>STANDARD</t>
        </is>
      </c>
      <c r="G109" s="49" t="inlineStr">
        <is>
          <t>Chest-Supported Row</t>
        </is>
      </c>
      <c r="H109" s="49" t="inlineStr">
        <is>
          <t>3</t>
        </is>
      </c>
      <c r="I109" s="49" t="inlineStr">
        <is>
          <t>6 reps</t>
        </is>
      </c>
      <c r="J109" s="49" t="inlineStr">
        <is>
          <t>Heavier than P1 — 3s eccentric</t>
        </is>
      </c>
      <c r="K109" s="49" t="inlineStr"/>
      <c r="L109" s="49" t="inlineStr"/>
      <c r="M109" s="49" t="inlineStr"/>
      <c r="N109" s="49" t="inlineStr"/>
      <c r="O109" s="49" t="inlineStr"/>
    </row>
    <row r="110">
      <c r="A110" s="30" t="inlineStr">
        <is>
          <t>P2-D6-STR-3</t>
        </is>
      </c>
      <c r="B110" s="30" t="inlineStr">
        <is>
          <t>2</t>
        </is>
      </c>
      <c r="C110" s="30" t="inlineStr">
        <is>
          <t>6</t>
        </is>
      </c>
      <c r="D110" s="30" t="inlineStr">
        <is>
          <t>STRENGTH</t>
        </is>
      </c>
      <c r="E110" s="30" t="inlineStr">
        <is>
          <t>3</t>
        </is>
      </c>
      <c r="F110" s="30" t="inlineStr">
        <is>
          <t>STANDARD</t>
        </is>
      </c>
      <c r="G110" s="30" t="inlineStr">
        <is>
          <t>Landmine Row + Rotation</t>
        </is>
      </c>
      <c r="H110" s="30" t="inlineStr">
        <is>
          <t>3</t>
        </is>
      </c>
      <c r="I110" s="30" t="inlineStr">
        <is>
          <t>8 each</t>
        </is>
      </c>
      <c r="J110" s="30" t="inlineStr">
        <is>
          <t>Same as P1 — add load 5kg</t>
        </is>
      </c>
      <c r="K110" s="30" t="inlineStr"/>
      <c r="L110" s="30" t="inlineStr"/>
      <c r="M110" s="30" t="inlineStr"/>
      <c r="N110" s="30" t="inlineStr"/>
      <c r="O110" s="30" t="inlineStr">
        <is>
          <t>Same cue</t>
        </is>
      </c>
    </row>
    <row r="111">
      <c r="A111" s="49" t="inlineStr">
        <is>
          <t>P2-D6-STR-4</t>
        </is>
      </c>
      <c r="B111" s="49" t="inlineStr">
        <is>
          <t>2</t>
        </is>
      </c>
      <c r="C111" s="49" t="inlineStr">
        <is>
          <t>6</t>
        </is>
      </c>
      <c r="D111" s="49" t="inlineStr">
        <is>
          <t>STRENGTH</t>
        </is>
      </c>
      <c r="E111" s="49" t="inlineStr">
        <is>
          <t>4</t>
        </is>
      </c>
      <c r="F111" s="49" t="inlineStr">
        <is>
          <t>STANDARD</t>
        </is>
      </c>
      <c r="G111" s="49" t="inlineStr">
        <is>
          <t>Cable High-to-Low Woodchop</t>
        </is>
      </c>
      <c r="H111" s="49" t="inlineStr">
        <is>
          <t>3</t>
        </is>
      </c>
      <c r="I111" s="49" t="inlineStr">
        <is>
          <t>10 each</t>
        </is>
      </c>
      <c r="J111" s="49" t="inlineStr">
        <is>
          <t>Same as P1 — add load</t>
        </is>
      </c>
      <c r="K111" s="49" t="inlineStr"/>
      <c r="L111" s="49" t="inlineStr"/>
      <c r="M111" s="49" t="inlineStr"/>
      <c r="N111" s="49" t="inlineStr"/>
      <c r="O111" s="49" t="inlineStr">
        <is>
          <t>Same cue</t>
        </is>
      </c>
    </row>
    <row r="112">
      <c r="A112" s="30" t="inlineStr">
        <is>
          <t>P2-D6-BAG-1</t>
        </is>
      </c>
      <c r="B112" s="30" t="inlineStr">
        <is>
          <t>2</t>
        </is>
      </c>
      <c r="C112" s="30" t="inlineStr">
        <is>
          <t>6</t>
        </is>
      </c>
      <c r="D112" s="30" t="inlineStr">
        <is>
          <t>BAG</t>
        </is>
      </c>
      <c r="E112" s="30" t="inlineStr">
        <is>
          <t>1</t>
        </is>
      </c>
      <c r="F112" s="30" t="inlineStr">
        <is>
          <t>STANDARD</t>
        </is>
      </c>
      <c r="G112" s="30" t="inlineStr">
        <is>
          <t>Bag Work — Defence + Counter (Advanced)</t>
        </is>
      </c>
      <c r="H112" s="30" t="inlineStr">
        <is>
          <t>5</t>
        </is>
      </c>
      <c r="I112" s="30" t="inlineStr">
        <is>
          <t>3 min rounds</t>
        </is>
      </c>
      <c r="J112" s="30" t="inlineStr">
        <is>
          <t>60s rest</t>
        </is>
      </c>
      <c r="K112" s="30" t="inlineStr"/>
      <c r="L112" s="30" t="inlineStr"/>
      <c r="M112" s="30" t="inlineStr"/>
      <c r="N112" s="30" t="inlineStr">
        <is>
          <t>R1: Double-slip + Counter | R2: Duck + Uppercut | R3: Parry-Parry-Cross | R4: Clinch + Elbow Exit | R5: Freestyle defensive round</t>
        </is>
      </c>
      <c r="O112" s="30" t="inlineStr">
        <is>
          <t>Phase 2: defence combinations are chained — no single slips.</t>
        </is>
      </c>
    </row>
    <row r="113">
      <c r="A113" s="49" t="inlineStr">
        <is>
          <t>P2-D6-CLR-1</t>
        </is>
      </c>
      <c r="B113" s="49" t="inlineStr">
        <is>
          <t>2</t>
        </is>
      </c>
      <c r="C113" s="49" t="inlineStr">
        <is>
          <t>6</t>
        </is>
      </c>
      <c r="D113" s="49" t="inlineStr">
        <is>
          <t>COOLDOWN</t>
        </is>
      </c>
      <c r="E113" s="49" t="inlineStr">
        <is>
          <t>1</t>
        </is>
      </c>
      <c r="F113" s="49" t="inlineStr">
        <is>
          <t>STANDARD</t>
        </is>
      </c>
      <c r="G113" s="49" t="inlineStr">
        <is>
          <t>Lat/Serratus Band Stretch</t>
        </is>
      </c>
      <c r="H113" s="49" t="inlineStr">
        <is>
          <t>2</t>
        </is>
      </c>
      <c r="I113" s="49" t="inlineStr">
        <is>
          <t>45s each</t>
        </is>
      </c>
      <c r="J113" s="49" t="inlineStr">
        <is>
          <t>Same as P1</t>
        </is>
      </c>
      <c r="K113" s="49" t="inlineStr"/>
      <c r="L113" s="49" t="inlineStr"/>
      <c r="M113" s="49" t="inlineStr"/>
      <c r="N113" s="49" t="inlineStr"/>
      <c r="O113" s="49" t="inlineStr">
        <is>
          <t>Same cue</t>
        </is>
      </c>
    </row>
    <row r="114">
      <c r="A114" s="30" t="inlineStr">
        <is>
          <t>P2-D6-CLR-2</t>
        </is>
      </c>
      <c r="B114" s="30" t="inlineStr">
        <is>
          <t>2</t>
        </is>
      </c>
      <c r="C114" s="30" t="inlineStr">
        <is>
          <t>6</t>
        </is>
      </c>
      <c r="D114" s="30" t="inlineStr">
        <is>
          <t>COOLDOWN</t>
        </is>
      </c>
      <c r="E114" s="30" t="inlineStr">
        <is>
          <t>2</t>
        </is>
      </c>
      <c r="F114" s="30" t="inlineStr">
        <is>
          <t>STANDARD</t>
        </is>
      </c>
      <c r="G114" s="30" t="inlineStr">
        <is>
          <t>Overhead Tricep Stretch</t>
        </is>
      </c>
      <c r="H114" s="30" t="inlineStr">
        <is>
          <t>2</t>
        </is>
      </c>
      <c r="I114" s="30" t="inlineStr">
        <is>
          <t>45s each</t>
        </is>
      </c>
      <c r="J114" s="30" t="inlineStr">
        <is>
          <t>Same as P1</t>
        </is>
      </c>
      <c r="K114" s="30" t="inlineStr"/>
      <c r="L114" s="30" t="inlineStr"/>
      <c r="M114" s="30" t="inlineStr"/>
      <c r="N114" s="30" t="inlineStr"/>
      <c r="O114" s="30" t="inlineStr">
        <is>
          <t>Same cue</t>
        </is>
      </c>
    </row>
    <row r="115">
      <c r="A115" s="49" t="inlineStr">
        <is>
          <t>P2-D6-CLR-3</t>
        </is>
      </c>
      <c r="B115" s="49" t="inlineStr">
        <is>
          <t>2</t>
        </is>
      </c>
      <c r="C115" s="49" t="inlineStr">
        <is>
          <t>6</t>
        </is>
      </c>
      <c r="D115" s="49" t="inlineStr">
        <is>
          <t>COOLDOWN</t>
        </is>
      </c>
      <c r="E115" s="49" t="inlineStr">
        <is>
          <t>3</t>
        </is>
      </c>
      <c r="F115" s="49" t="inlineStr">
        <is>
          <t>STANDARD</t>
        </is>
      </c>
      <c r="G115" s="49" t="inlineStr">
        <is>
          <t>Doorway Hip Flexor</t>
        </is>
      </c>
      <c r="H115" s="49" t="inlineStr">
        <is>
          <t>2</t>
        </is>
      </c>
      <c r="I115" s="49" t="inlineStr">
        <is>
          <t>45s each</t>
        </is>
      </c>
      <c r="J115" s="49" t="inlineStr">
        <is>
          <t>RIGHT priority</t>
        </is>
      </c>
      <c r="K115" s="49" t="inlineStr"/>
      <c r="L115" s="49" t="inlineStr"/>
      <c r="M115" s="49" t="inlineStr"/>
      <c r="N115" s="49" t="inlineStr"/>
      <c r="O115" s="49" t="inlineStr">
        <is>
          <t>Same cue</t>
        </is>
      </c>
    </row>
    <row r="116">
      <c r="A116" s="30" t="inlineStr">
        <is>
          <t>P2-D6-CLR-4</t>
        </is>
      </c>
      <c r="B116" s="30" t="inlineStr">
        <is>
          <t>2</t>
        </is>
      </c>
      <c r="C116" s="30" t="inlineStr">
        <is>
          <t>6</t>
        </is>
      </c>
      <c r="D116" s="30" t="inlineStr">
        <is>
          <t>COOLDOWN</t>
        </is>
      </c>
      <c r="E116" s="30" t="inlineStr">
        <is>
          <t>4</t>
        </is>
      </c>
      <c r="F116" s="30" t="inlineStr">
        <is>
          <t>STANDARD</t>
        </is>
      </c>
      <c r="G116" s="30" t="inlineStr">
        <is>
          <t>Wrist + Forearm Flexor</t>
        </is>
      </c>
      <c r="H116" s="30" t="inlineStr">
        <is>
          <t>2</t>
        </is>
      </c>
      <c r="I116" s="30" t="inlineStr">
        <is>
          <t>30s each</t>
        </is>
      </c>
      <c r="J116" s="30" t="inlineStr">
        <is>
          <t>Same as P1</t>
        </is>
      </c>
      <c r="K116" s="30" t="inlineStr"/>
      <c r="L116" s="30" t="inlineStr"/>
      <c r="M116" s="30" t="inlineStr"/>
      <c r="N116" s="30" t="inlineStr"/>
      <c r="O116" s="30" t="inlineStr">
        <is>
          <t>Same cue</t>
        </is>
      </c>
    </row>
    <row r="117">
      <c r="A117" s="49" t="inlineStr">
        <is>
          <t>P3-D1-MOB-1-STD</t>
        </is>
      </c>
      <c r="B117" s="49" t="inlineStr">
        <is>
          <t>3</t>
        </is>
      </c>
      <c r="C117" s="49" t="inlineStr">
        <is>
          <t>1</t>
        </is>
      </c>
      <c r="D117" s="49" t="inlineStr">
        <is>
          <t>MOBILITY</t>
        </is>
      </c>
      <c r="E117" s="49" t="inlineStr">
        <is>
          <t>1</t>
        </is>
      </c>
      <c r="F117" s="49" t="inlineStr">
        <is>
          <t>STANDARD</t>
        </is>
      </c>
      <c r="G117" s="49" t="inlineStr">
        <is>
          <t>90/90 Hip IR/ER (Competition Prep)</t>
        </is>
      </c>
      <c r="H117" s="49" t="inlineStr"/>
      <c r="I117" s="49" t="inlineStr">
        <is>
          <t>2x45s each side</t>
        </is>
      </c>
      <c r="J117" s="49" t="inlineStr">
        <is>
          <t>Quick but thorough — pre-competition pattern</t>
        </is>
      </c>
      <c r="K117" s="49" t="inlineStr"/>
      <c r="L117" s="49" t="inlineStr"/>
      <c r="M117" s="49" t="inlineStr"/>
      <c r="N117" s="49" t="inlineStr"/>
      <c r="O117" s="49" t="inlineStr"/>
    </row>
    <row r="118">
      <c r="A118" s="30" t="inlineStr">
        <is>
          <t>P3-D1-MOB-2-STD</t>
        </is>
      </c>
      <c r="B118" s="30" t="inlineStr">
        <is>
          <t>3</t>
        </is>
      </c>
      <c r="C118" s="30" t="inlineStr">
        <is>
          <t>1</t>
        </is>
      </c>
      <c r="D118" s="30" t="inlineStr">
        <is>
          <t>MOBILITY</t>
        </is>
      </c>
      <c r="E118" s="30" t="inlineStr">
        <is>
          <t>2</t>
        </is>
      </c>
      <c r="F118" s="30" t="inlineStr">
        <is>
          <t>STANDARD</t>
        </is>
      </c>
      <c r="G118" s="30" t="inlineStr">
        <is>
          <t>Supine Figure-4</t>
        </is>
      </c>
      <c r="H118" s="30" t="inlineStr"/>
      <c r="I118" s="30" t="inlineStr">
        <is>
          <t>2x45s</t>
        </is>
      </c>
      <c r="J118" s="30" t="inlineStr">
        <is>
          <t>Right priority</t>
        </is>
      </c>
      <c r="K118" s="30" t="inlineStr"/>
      <c r="L118" s="30" t="inlineStr"/>
      <c r="M118" s="30" t="inlineStr"/>
      <c r="N118" s="30" t="inlineStr"/>
      <c r="O118" s="30" t="inlineStr">
        <is>
          <t>Same cue</t>
        </is>
      </c>
    </row>
    <row r="119">
      <c r="A119" s="49" t="inlineStr">
        <is>
          <t>P3-D1-MOB-3-STD</t>
        </is>
      </c>
      <c r="B119" s="49" t="inlineStr">
        <is>
          <t>3</t>
        </is>
      </c>
      <c r="C119" s="49" t="inlineStr">
        <is>
          <t>1</t>
        </is>
      </c>
      <c r="D119" s="49" t="inlineStr">
        <is>
          <t>MOBILITY</t>
        </is>
      </c>
      <c r="E119" s="49" t="inlineStr">
        <is>
          <t>3</t>
        </is>
      </c>
      <c r="F119" s="49" t="inlineStr">
        <is>
          <t>STANDARD</t>
        </is>
      </c>
      <c r="G119" s="49" t="inlineStr">
        <is>
          <t>Half-Kneeling Hip Flexor + Band Resist</t>
        </is>
      </c>
      <c r="H119" s="49" t="inlineStr"/>
      <c r="I119" s="49" t="inlineStr">
        <is>
          <t>2x45s each</t>
        </is>
      </c>
      <c r="J119" s="49" t="inlineStr">
        <is>
          <t>Same as P2</t>
        </is>
      </c>
      <c r="K119" s="49" t="inlineStr"/>
      <c r="L119" s="49" t="inlineStr"/>
      <c r="M119" s="49" t="inlineStr"/>
      <c r="N119" s="49" t="inlineStr"/>
      <c r="O119" s="49" t="inlineStr">
        <is>
          <t>Same cue</t>
        </is>
      </c>
    </row>
    <row r="120">
      <c r="A120" s="30" t="inlineStr">
        <is>
          <t>P3-D1-MOB-1-HA</t>
        </is>
      </c>
      <c r="B120" s="30" t="inlineStr">
        <is>
          <t>3</t>
        </is>
      </c>
      <c r="C120" s="30" t="inlineStr">
        <is>
          <t>1</t>
        </is>
      </c>
      <c r="D120" s="30" t="inlineStr">
        <is>
          <t>MOBILITY</t>
        </is>
      </c>
      <c r="E120" s="30" t="inlineStr">
        <is>
          <t>1</t>
        </is>
      </c>
      <c r="F120" s="30" t="inlineStr">
        <is>
          <t>HIGH_ALERT</t>
        </is>
      </c>
      <c r="G120" s="30" t="inlineStr">
        <is>
          <t>Hip CARs (Slow)</t>
        </is>
      </c>
      <c r="H120" s="30" t="inlineStr">
        <is>
          <t>2</t>
        </is>
      </c>
      <c r="I120" s="30" t="inlineStr">
        <is>
          <t>5 each</t>
        </is>
      </c>
      <c r="J120" s="30" t="inlineStr">
        <is>
          <t>Joint priority — same as P1/P2</t>
        </is>
      </c>
      <c r="K120" s="30" t="inlineStr"/>
      <c r="L120" s="30" t="inlineStr"/>
      <c r="M120" s="30" t="inlineStr"/>
      <c r="N120" s="30" t="inlineStr"/>
      <c r="O120" s="30" t="inlineStr">
        <is>
          <t>Same cue</t>
        </is>
      </c>
    </row>
    <row r="121">
      <c r="A121" s="49" t="inlineStr">
        <is>
          <t>P3-D1-MOB-2-HA</t>
        </is>
      </c>
      <c r="B121" s="49" t="inlineStr">
        <is>
          <t>3</t>
        </is>
      </c>
      <c r="C121" s="49" t="inlineStr">
        <is>
          <t>1</t>
        </is>
      </c>
      <c r="D121" s="49" t="inlineStr">
        <is>
          <t>MOBILITY</t>
        </is>
      </c>
      <c r="E121" s="49" t="inlineStr">
        <is>
          <t>2</t>
        </is>
      </c>
      <c r="F121" s="49" t="inlineStr">
        <is>
          <t>HIGH_ALERT</t>
        </is>
      </c>
      <c r="G121" s="49" t="inlineStr">
        <is>
          <t>90/90 Stretch</t>
        </is>
      </c>
      <c r="H121" s="49" t="inlineStr">
        <is>
          <t>3</t>
        </is>
      </c>
      <c r="I121" s="49" t="inlineStr">
        <is>
          <t>90s each side</t>
        </is>
      </c>
      <c r="J121" s="49" t="inlineStr">
        <is>
          <t>RIGHT non-negotiable</t>
        </is>
      </c>
      <c r="K121" s="49" t="inlineStr"/>
      <c r="L121" s="49" t="inlineStr"/>
      <c r="M121" s="49" t="inlineStr"/>
      <c r="N121" s="49" t="inlineStr"/>
      <c r="O121" s="49" t="inlineStr">
        <is>
          <t>Same cue</t>
        </is>
      </c>
    </row>
    <row r="122">
      <c r="A122" s="30" t="inlineStr">
        <is>
          <t>P3-D1-MOB-3-HA</t>
        </is>
      </c>
      <c r="B122" s="30" t="inlineStr">
        <is>
          <t>3</t>
        </is>
      </c>
      <c r="C122" s="30" t="inlineStr">
        <is>
          <t>1</t>
        </is>
      </c>
      <c r="D122" s="30" t="inlineStr">
        <is>
          <t>MOBILITY</t>
        </is>
      </c>
      <c r="E122" s="30" t="inlineStr">
        <is>
          <t>3</t>
        </is>
      </c>
      <c r="F122" s="30" t="inlineStr">
        <is>
          <t>HIGH_ALERT</t>
        </is>
      </c>
      <c r="G122" s="30" t="inlineStr">
        <is>
          <t>Adductor PAILs-RAILs</t>
        </is>
      </c>
      <c r="H122" s="30" t="inlineStr">
        <is>
          <t>2</t>
        </is>
      </c>
      <c r="I122" s="30" t="inlineStr">
        <is>
          <t>45s</t>
        </is>
      </c>
      <c r="J122" s="30" t="inlineStr">
        <is>
          <t>Same</t>
        </is>
      </c>
      <c r="K122" s="30" t="inlineStr"/>
      <c r="L122" s="30" t="inlineStr"/>
      <c r="M122" s="30" t="inlineStr"/>
      <c r="N122" s="30" t="inlineStr"/>
      <c r="O122" s="30" t="inlineStr">
        <is>
          <t>Same cue</t>
        </is>
      </c>
    </row>
    <row r="123">
      <c r="A123" s="49" t="inlineStr">
        <is>
          <t>P3-D1-STR-1</t>
        </is>
      </c>
      <c r="B123" s="49" t="inlineStr">
        <is>
          <t>3</t>
        </is>
      </c>
      <c r="C123" s="49" t="inlineStr">
        <is>
          <t>1</t>
        </is>
      </c>
      <c r="D123" s="49" t="inlineStr">
        <is>
          <t>STRENGTH</t>
        </is>
      </c>
      <c r="E123" s="49" t="inlineStr">
        <is>
          <t>1</t>
        </is>
      </c>
      <c r="F123" s="49" t="inlineStr">
        <is>
          <t>STANDARD</t>
        </is>
      </c>
      <c r="G123" s="49" t="inlineStr">
        <is>
          <t>Barbell Back Squat</t>
        </is>
      </c>
      <c r="H123" s="49" t="inlineStr">
        <is>
          <t>4</t>
        </is>
      </c>
      <c r="I123" s="49" t="inlineStr">
        <is>
          <t>2-3 reps</t>
        </is>
      </c>
      <c r="J123" s="49" t="inlineStr">
        <is>
          <t>90% 1RM — Peak Phase</t>
        </is>
      </c>
      <c r="K123" s="49" t="inlineStr">
        <is>
          <t>Box Jump</t>
        </is>
      </c>
      <c r="L123" s="49" t="inlineStr">
        <is>
          <t>4</t>
        </is>
      </c>
      <c r="M123" s="49" t="inlineStr">
        <is>
          <t>5</t>
        </is>
      </c>
      <c r="N123" s="49" t="inlineStr"/>
      <c r="O123" s="49" t="inlineStr">
        <is>
          <t>Phase 3: peak strength. Fewer reps — maximum load. PAP volume increases.</t>
        </is>
      </c>
    </row>
    <row r="124">
      <c r="A124" s="30" t="inlineStr">
        <is>
          <t>P3-D1-STR-2</t>
        </is>
      </c>
      <c r="B124" s="30" t="inlineStr">
        <is>
          <t>3</t>
        </is>
      </c>
      <c r="C124" s="30" t="inlineStr">
        <is>
          <t>1</t>
        </is>
      </c>
      <c r="D124" s="30" t="inlineStr">
        <is>
          <t>STRENGTH</t>
        </is>
      </c>
      <c r="E124" s="30" t="inlineStr">
        <is>
          <t>2</t>
        </is>
      </c>
      <c r="F124" s="30" t="inlineStr">
        <is>
          <t>STANDARD</t>
        </is>
      </c>
      <c r="G124" s="30" t="inlineStr">
        <is>
          <t>Trap Bar Deadlift</t>
        </is>
      </c>
      <c r="H124" s="30" t="inlineStr">
        <is>
          <t>3</t>
        </is>
      </c>
      <c r="I124" s="30" t="inlineStr">
        <is>
          <t>4 reps</t>
        </is>
      </c>
      <c r="J124" s="30" t="inlineStr">
        <is>
          <t>Heavy — controlled</t>
        </is>
      </c>
      <c r="K124" s="30" t="inlineStr">
        <is>
          <t>Depth Jump</t>
        </is>
      </c>
      <c r="L124" s="30" t="inlineStr">
        <is>
          <t>3</t>
        </is>
      </c>
      <c r="M124" s="30" t="inlineStr">
        <is>
          <t>4</t>
        </is>
      </c>
      <c r="N124" s="30" t="inlineStr"/>
      <c r="O124" s="30" t="inlineStr">
        <is>
          <t>Phase 3 PAP: Depth Jump — highest reactive demand</t>
        </is>
      </c>
    </row>
    <row r="125">
      <c r="A125" s="49" t="inlineStr">
        <is>
          <t>P3-D1-STR-3</t>
        </is>
      </c>
      <c r="B125" s="49" t="inlineStr">
        <is>
          <t>3</t>
        </is>
      </c>
      <c r="C125" s="49" t="inlineStr">
        <is>
          <t>1</t>
        </is>
      </c>
      <c r="D125" s="49" t="inlineStr">
        <is>
          <t>STRENGTH</t>
        </is>
      </c>
      <c r="E125" s="49" t="inlineStr">
        <is>
          <t>3</t>
        </is>
      </c>
      <c r="F125" s="49" t="inlineStr">
        <is>
          <t>STANDARD</t>
        </is>
      </c>
      <c r="G125" s="49" t="inlineStr">
        <is>
          <t>Barbell Hip Thrust</t>
        </is>
      </c>
      <c r="H125" s="49" t="inlineStr">
        <is>
          <t>3</t>
        </is>
      </c>
      <c r="I125" s="49" t="inlineStr">
        <is>
          <t>6 reps</t>
        </is>
      </c>
      <c r="J125" s="49" t="inlineStr">
        <is>
          <t>Heavy — 3s pause</t>
        </is>
      </c>
      <c r="K125" s="49" t="inlineStr"/>
      <c r="L125" s="49" t="inlineStr"/>
      <c r="M125" s="49" t="inlineStr"/>
      <c r="N125" s="49" t="inlineStr"/>
      <c r="O125" s="49" t="inlineStr"/>
    </row>
    <row r="126">
      <c r="A126" s="30" t="inlineStr">
        <is>
          <t>P3-D1-BAG-1</t>
        </is>
      </c>
      <c r="B126" s="30" t="inlineStr">
        <is>
          <t>3</t>
        </is>
      </c>
      <c r="C126" s="30" t="inlineStr">
        <is>
          <t>1</t>
        </is>
      </c>
      <c r="D126" s="30" t="inlineStr">
        <is>
          <t>BAG</t>
        </is>
      </c>
      <c r="E126" s="30" t="inlineStr">
        <is>
          <t>1</t>
        </is>
      </c>
      <c r="F126" s="30" t="inlineStr">
        <is>
          <t>STANDARD</t>
        </is>
      </c>
      <c r="G126" s="30" t="inlineStr">
        <is>
          <t>Bag Work — Fight Pace</t>
        </is>
      </c>
      <c r="H126" s="30" t="inlineStr">
        <is>
          <t>8</t>
        </is>
      </c>
      <c r="I126" s="30" t="inlineStr">
        <is>
          <t>3 min rounds</t>
        </is>
      </c>
      <c r="J126" s="30" t="inlineStr">
        <is>
          <t>60s rest</t>
        </is>
      </c>
      <c r="K126" s="30" t="inlineStr"/>
      <c r="L126" s="30" t="inlineStr"/>
      <c r="M126" s="30" t="inlineStr"/>
      <c r="N126" s="30" t="inlineStr">
        <is>
          <t>Fight pace: R1-4 Technical combos | R5-6 Pressure rounds | R7 Counter round | R8 Finish strong</t>
        </is>
      </c>
      <c r="O126" s="30" t="inlineStr">
        <is>
          <t>Phase 3: 8 rounds — competition standard. Every round has a purpose.</t>
        </is>
      </c>
    </row>
    <row r="127">
      <c r="A127" s="49" t="inlineStr">
        <is>
          <t>P3-D1-CLR-1</t>
        </is>
      </c>
      <c r="B127" s="49" t="inlineStr">
        <is>
          <t>3</t>
        </is>
      </c>
      <c r="C127" s="49" t="inlineStr">
        <is>
          <t>1</t>
        </is>
      </c>
      <c r="D127" s="49" t="inlineStr">
        <is>
          <t>COOLDOWN</t>
        </is>
      </c>
      <c r="E127" s="49" t="inlineStr">
        <is>
          <t>1</t>
        </is>
      </c>
      <c r="F127" s="49" t="inlineStr">
        <is>
          <t>STANDARD</t>
        </is>
      </c>
      <c r="G127" s="49" t="inlineStr">
        <is>
          <t>Pigeon Pose</t>
        </is>
      </c>
      <c r="H127" s="49" t="inlineStr">
        <is>
          <t>3</t>
        </is>
      </c>
      <c r="I127" s="49" t="inlineStr">
        <is>
          <t>90s each</t>
        </is>
      </c>
      <c r="J127" s="49" t="inlineStr">
        <is>
          <t>Non-negotiable forever</t>
        </is>
      </c>
      <c r="K127" s="49" t="inlineStr"/>
      <c r="L127" s="49" t="inlineStr"/>
      <c r="M127" s="49" t="inlineStr"/>
      <c r="N127" s="49" t="inlineStr"/>
      <c r="O127" s="49" t="inlineStr"/>
    </row>
    <row r="128">
      <c r="A128" s="30" t="inlineStr">
        <is>
          <t>P3-D1-CLR-2</t>
        </is>
      </c>
      <c r="B128" s="30" t="inlineStr">
        <is>
          <t>3</t>
        </is>
      </c>
      <c r="C128" s="30" t="inlineStr">
        <is>
          <t>1</t>
        </is>
      </c>
      <c r="D128" s="30" t="inlineStr">
        <is>
          <t>COOLDOWN</t>
        </is>
      </c>
      <c r="E128" s="30" t="inlineStr">
        <is>
          <t>2</t>
        </is>
      </c>
      <c r="F128" s="30" t="inlineStr">
        <is>
          <t>STANDARD</t>
        </is>
      </c>
      <c r="G128" s="30" t="inlineStr">
        <is>
          <t>Couch Stretch</t>
        </is>
      </c>
      <c r="H128" s="30" t="inlineStr">
        <is>
          <t>2</t>
        </is>
      </c>
      <c r="I128" s="30" t="inlineStr">
        <is>
          <t>60s each</t>
        </is>
      </c>
      <c r="J128" s="30" t="inlineStr">
        <is>
          <t>RIGHT priority</t>
        </is>
      </c>
      <c r="K128" s="30" t="inlineStr"/>
      <c r="L128" s="30" t="inlineStr"/>
      <c r="M128" s="30" t="inlineStr"/>
      <c r="N128" s="30" t="inlineStr"/>
      <c r="O128" s="30" t="inlineStr">
        <is>
          <t>Same cue</t>
        </is>
      </c>
    </row>
    <row r="129">
      <c r="A129" s="49" t="inlineStr">
        <is>
          <t>P3-D1-CLR-3</t>
        </is>
      </c>
      <c r="B129" s="49" t="inlineStr">
        <is>
          <t>3</t>
        </is>
      </c>
      <c r="C129" s="49" t="inlineStr">
        <is>
          <t>1</t>
        </is>
      </c>
      <c r="D129" s="49" t="inlineStr">
        <is>
          <t>COOLDOWN</t>
        </is>
      </c>
      <c r="E129" s="49" t="inlineStr">
        <is>
          <t>3</t>
        </is>
      </c>
      <c r="F129" s="49" t="inlineStr">
        <is>
          <t>STANDARD</t>
        </is>
      </c>
      <c r="G129" s="49" t="inlineStr">
        <is>
          <t>Butterfly Adductor</t>
        </is>
      </c>
      <c r="H129" s="49" t="inlineStr">
        <is>
          <t>2</t>
        </is>
      </c>
      <c r="I129" s="49" t="inlineStr">
        <is>
          <t>60s</t>
        </is>
      </c>
      <c r="J129" s="49" t="inlineStr">
        <is>
          <t>Same as P1/P2</t>
        </is>
      </c>
      <c r="K129" s="49" t="inlineStr"/>
      <c r="L129" s="49" t="inlineStr"/>
      <c r="M129" s="49" t="inlineStr"/>
      <c r="N129" s="49" t="inlineStr"/>
      <c r="O129" s="49" t="inlineStr">
        <is>
          <t>Same cue</t>
        </is>
      </c>
    </row>
    <row r="130">
      <c r="A130" s="30" t="inlineStr">
        <is>
          <t>P3-D1-CLR-4</t>
        </is>
      </c>
      <c r="B130" s="30" t="inlineStr">
        <is>
          <t>3</t>
        </is>
      </c>
      <c r="C130" s="30" t="inlineStr">
        <is>
          <t>1</t>
        </is>
      </c>
      <c r="D130" s="30" t="inlineStr">
        <is>
          <t>COOLDOWN</t>
        </is>
      </c>
      <c r="E130" s="30" t="inlineStr">
        <is>
          <t>4</t>
        </is>
      </c>
      <c r="F130" s="30" t="inlineStr">
        <is>
          <t>STANDARD</t>
        </is>
      </c>
      <c r="G130" s="30" t="inlineStr">
        <is>
          <t>QL Side Bend</t>
        </is>
      </c>
      <c r="H130" s="30" t="inlineStr">
        <is>
          <t>2</t>
        </is>
      </c>
      <c r="I130" s="30" t="inlineStr">
        <is>
          <t>45s each</t>
        </is>
      </c>
      <c r="J130" s="30" t="inlineStr">
        <is>
          <t>Same</t>
        </is>
      </c>
      <c r="K130" s="30" t="inlineStr"/>
      <c r="L130" s="30" t="inlineStr"/>
      <c r="M130" s="30" t="inlineStr"/>
      <c r="N130" s="30" t="inlineStr"/>
      <c r="O130" s="30" t="inlineStr">
        <is>
          <t>Same cue</t>
        </is>
      </c>
    </row>
    <row r="131">
      <c r="A131" s="49" t="inlineStr">
        <is>
          <t>P3-D3-MOB-1-STD</t>
        </is>
      </c>
      <c r="B131" s="49" t="inlineStr">
        <is>
          <t>3</t>
        </is>
      </c>
      <c r="C131" s="49" t="inlineStr">
        <is>
          <t>3</t>
        </is>
      </c>
      <c r="D131" s="49" t="inlineStr">
        <is>
          <t>MOBILITY</t>
        </is>
      </c>
      <c r="E131" s="49" t="inlineStr">
        <is>
          <t>1</t>
        </is>
      </c>
      <c r="F131" s="49" t="inlineStr">
        <is>
          <t>STANDARD</t>
        </is>
      </c>
      <c r="G131" s="49" t="inlineStr">
        <is>
          <t>Thoracic Rotation</t>
        </is>
      </c>
      <c r="H131" s="49" t="inlineStr">
        <is>
          <t>2</t>
        </is>
      </c>
      <c r="I131" s="49" t="inlineStr">
        <is>
          <t>10 each</t>
        </is>
      </c>
      <c r="J131" s="49" t="inlineStr">
        <is>
          <t>Same as P1/P2</t>
        </is>
      </c>
      <c r="K131" s="49" t="inlineStr"/>
      <c r="L131" s="49" t="inlineStr"/>
      <c r="M131" s="49" t="inlineStr"/>
      <c r="N131" s="49" t="inlineStr"/>
      <c r="O131" s="49" t="inlineStr">
        <is>
          <t>Same cue</t>
        </is>
      </c>
    </row>
    <row r="132">
      <c r="A132" s="30" t="inlineStr">
        <is>
          <t>P3-D3-MOB-2-STD</t>
        </is>
      </c>
      <c r="B132" s="30" t="inlineStr">
        <is>
          <t>3</t>
        </is>
      </c>
      <c r="C132" s="30" t="inlineStr">
        <is>
          <t>3</t>
        </is>
      </c>
      <c r="D132" s="30" t="inlineStr">
        <is>
          <t>MOBILITY</t>
        </is>
      </c>
      <c r="E132" s="30" t="inlineStr">
        <is>
          <t>2</t>
        </is>
      </c>
      <c r="F132" s="30" t="inlineStr">
        <is>
          <t>STANDARD</t>
        </is>
      </c>
      <c r="G132" s="30" t="inlineStr">
        <is>
          <t>World's Greatest Stretch</t>
        </is>
      </c>
      <c r="H132" s="30" t="inlineStr">
        <is>
          <t>1</t>
        </is>
      </c>
      <c r="I132" s="30" t="inlineStr">
        <is>
          <t>6 each</t>
        </is>
      </c>
      <c r="J132" s="30" t="inlineStr">
        <is>
          <t>Same as P2</t>
        </is>
      </c>
      <c r="K132" s="30" t="inlineStr"/>
      <c r="L132" s="30" t="inlineStr"/>
      <c r="M132" s="30" t="inlineStr"/>
      <c r="N132" s="30" t="inlineStr"/>
      <c r="O132" s="30" t="inlineStr">
        <is>
          <t>Same cue</t>
        </is>
      </c>
    </row>
    <row r="133">
      <c r="A133" s="49" t="inlineStr">
        <is>
          <t>P3-D3-MOB-3-STD</t>
        </is>
      </c>
      <c r="B133" s="49" t="inlineStr">
        <is>
          <t>3</t>
        </is>
      </c>
      <c r="C133" s="49" t="inlineStr">
        <is>
          <t>3</t>
        </is>
      </c>
      <c r="D133" s="49" t="inlineStr">
        <is>
          <t>MOBILITY</t>
        </is>
      </c>
      <c r="E133" s="49" t="inlineStr">
        <is>
          <t>3</t>
        </is>
      </c>
      <c r="F133" s="49" t="inlineStr">
        <is>
          <t>STANDARD</t>
        </is>
      </c>
      <c r="G133" s="49" t="inlineStr">
        <is>
          <t>Active Hip Flexor Reach</t>
        </is>
      </c>
      <c r="H133" s="49" t="inlineStr">
        <is>
          <t>2</t>
        </is>
      </c>
      <c r="I133" s="49" t="inlineStr">
        <is>
          <t>45s each</t>
        </is>
      </c>
      <c r="J133" s="49" t="inlineStr">
        <is>
          <t>Same</t>
        </is>
      </c>
      <c r="K133" s="49" t="inlineStr"/>
      <c r="L133" s="49" t="inlineStr"/>
      <c r="M133" s="49" t="inlineStr"/>
      <c r="N133" s="49" t="inlineStr"/>
      <c r="O133" s="49" t="inlineStr">
        <is>
          <t>Same cue</t>
        </is>
      </c>
    </row>
    <row r="134">
      <c r="A134" s="30" t="inlineStr">
        <is>
          <t>P3-D3-STR-1</t>
        </is>
      </c>
      <c r="B134" s="30" t="inlineStr">
        <is>
          <t>3</t>
        </is>
      </c>
      <c r="C134" s="30" t="inlineStr">
        <is>
          <t>3</t>
        </is>
      </c>
      <c r="D134" s="30" t="inlineStr">
        <is>
          <t>STRENGTH</t>
        </is>
      </c>
      <c r="E134" s="30" t="inlineStr">
        <is>
          <t>1</t>
        </is>
      </c>
      <c r="F134" s="30" t="inlineStr">
        <is>
          <t>STANDARD</t>
        </is>
      </c>
      <c r="G134" s="30" t="inlineStr">
        <is>
          <t>Incline Barbell Press</t>
        </is>
      </c>
      <c r="H134" s="30" t="inlineStr">
        <is>
          <t>4</t>
        </is>
      </c>
      <c r="I134" s="30" t="inlineStr">
        <is>
          <t>3 reps</t>
        </is>
      </c>
      <c r="J134" s="30" t="inlineStr">
        <is>
          <t>85-90% 1RM — peak strength</t>
        </is>
      </c>
      <c r="K134" s="30" t="inlineStr">
        <is>
          <t>Explosive Push-up</t>
        </is>
      </c>
      <c r="L134" s="30" t="inlineStr">
        <is>
          <t>4</t>
        </is>
      </c>
      <c r="M134" s="30" t="inlineStr">
        <is>
          <t>6</t>
        </is>
      </c>
      <c r="N134" s="30" t="inlineStr"/>
      <c r="O134" s="30" t="inlineStr">
        <is>
          <t>Phase 3: heaviest loads — lightest body. Power endurance.</t>
        </is>
      </c>
    </row>
    <row r="135">
      <c r="A135" s="49" t="inlineStr">
        <is>
          <t>P3-D3-STR-2</t>
        </is>
      </c>
      <c r="B135" s="49" t="inlineStr">
        <is>
          <t>3</t>
        </is>
      </c>
      <c r="C135" s="49" t="inlineStr">
        <is>
          <t>3</t>
        </is>
      </c>
      <c r="D135" s="49" t="inlineStr">
        <is>
          <t>STRENGTH</t>
        </is>
      </c>
      <c r="E135" s="49" t="inlineStr">
        <is>
          <t>2</t>
        </is>
      </c>
      <c r="F135" s="49" t="inlineStr">
        <is>
          <t>STANDARD</t>
        </is>
      </c>
      <c r="G135" s="49" t="inlineStr">
        <is>
          <t>Weighted Dip</t>
        </is>
      </c>
      <c r="H135" s="49" t="inlineStr">
        <is>
          <t>3</t>
        </is>
      </c>
      <c r="I135" s="49" t="inlineStr">
        <is>
          <t>4 reps</t>
        </is>
      </c>
      <c r="J135" s="49" t="inlineStr">
        <is>
          <t>+25-30kg Phase 3</t>
        </is>
      </c>
      <c r="K135" s="49" t="inlineStr">
        <is>
          <t>Clap Push-up</t>
        </is>
      </c>
      <c r="L135" s="49" t="inlineStr">
        <is>
          <t>3</t>
        </is>
      </c>
      <c r="M135" s="49" t="inlineStr">
        <is>
          <t>6</t>
        </is>
      </c>
      <c r="N135" s="49" t="inlineStr"/>
      <c r="O135" s="49" t="inlineStr">
        <is>
          <t>Heavy dip — explosive plyometric PAP</t>
        </is>
      </c>
    </row>
    <row r="136">
      <c r="A136" s="30" t="inlineStr">
        <is>
          <t>P3-D3-STR-3</t>
        </is>
      </c>
      <c r="B136" s="30" t="inlineStr">
        <is>
          <t>3</t>
        </is>
      </c>
      <c r="C136" s="30" t="inlineStr">
        <is>
          <t>3</t>
        </is>
      </c>
      <c r="D136" s="30" t="inlineStr">
        <is>
          <t>STRENGTH</t>
        </is>
      </c>
      <c r="E136" s="30" t="inlineStr">
        <is>
          <t>3</t>
        </is>
      </c>
      <c r="F136" s="30" t="inlineStr">
        <is>
          <t>STANDARD</t>
        </is>
      </c>
      <c r="G136" s="30" t="inlineStr">
        <is>
          <t>Landmine Press (Maximum Velocity)</t>
        </is>
      </c>
      <c r="H136" s="30" t="inlineStr">
        <is>
          <t>3</t>
        </is>
      </c>
      <c r="I136" s="30" t="inlineStr">
        <is>
          <t>6 each</t>
        </is>
      </c>
      <c r="J136" s="30" t="inlineStr">
        <is>
          <t>Lighter load — MAXIMUM speed intent</t>
        </is>
      </c>
      <c r="K136" s="30" t="inlineStr"/>
      <c r="L136" s="30" t="inlineStr"/>
      <c r="M136" s="30" t="inlineStr"/>
      <c r="N136" s="30" t="inlineStr"/>
      <c r="O136" s="30" t="inlineStr">
        <is>
          <t>Phase 3: prioritise VELOCITY over load. Strike speed training.</t>
        </is>
      </c>
    </row>
    <row r="137">
      <c r="A137" s="49" t="inlineStr">
        <is>
          <t>P3-D3-BAG-1</t>
        </is>
      </c>
      <c r="B137" s="49" t="inlineStr">
        <is>
          <t>3</t>
        </is>
      </c>
      <c r="C137" s="49" t="inlineStr">
        <is>
          <t>3</t>
        </is>
      </c>
      <c r="D137" s="49" t="inlineStr">
        <is>
          <t>BAG</t>
        </is>
      </c>
      <c r="E137" s="49" t="inlineStr">
        <is>
          <t>1</t>
        </is>
      </c>
      <c r="F137" s="49" t="inlineStr">
        <is>
          <t>STANDARD</t>
        </is>
      </c>
      <c r="G137" s="49" t="inlineStr">
        <is>
          <t>Bag Work — Competition Combinations</t>
        </is>
      </c>
      <c r="H137" s="49" t="inlineStr">
        <is>
          <t>8</t>
        </is>
      </c>
      <c r="I137" s="49" t="inlineStr">
        <is>
          <t>3 min rounds</t>
        </is>
      </c>
      <c r="J137" s="49" t="inlineStr">
        <is>
          <t>60s rest</t>
        </is>
      </c>
      <c r="K137" s="49" t="inlineStr"/>
      <c r="L137" s="49" t="inlineStr"/>
      <c r="M137" s="49" t="inlineStr"/>
      <c r="N137" s="49" t="inlineStr">
        <is>
          <t>R1-2: 5-strike openers | R3-4: Entry + exit combos | R5: Kick-punch-kick | R6: Pressure + clinch | R7: Counter specialist | R8: KO round</t>
        </is>
      </c>
      <c r="O137" s="49" t="inlineStr">
        <is>
          <t>Phase 3: 8 rounds. Every round ends with a KO-intent finish.</t>
        </is>
      </c>
    </row>
    <row r="138">
      <c r="A138" s="30" t="inlineStr">
        <is>
          <t>P3-D3-CLR-1</t>
        </is>
      </c>
      <c r="B138" s="30" t="inlineStr">
        <is>
          <t>3</t>
        </is>
      </c>
      <c r="C138" s="30" t="inlineStr">
        <is>
          <t>3</t>
        </is>
      </c>
      <c r="D138" s="30" t="inlineStr">
        <is>
          <t>COOLDOWN</t>
        </is>
      </c>
      <c r="E138" s="30" t="inlineStr">
        <is>
          <t>1</t>
        </is>
      </c>
      <c r="F138" s="30" t="inlineStr">
        <is>
          <t>STANDARD</t>
        </is>
      </c>
      <c r="G138" s="30" t="inlineStr">
        <is>
          <t>Doorway Chest Stretch</t>
        </is>
      </c>
      <c r="H138" s="30" t="inlineStr">
        <is>
          <t>2</t>
        </is>
      </c>
      <c r="I138" s="30" t="inlineStr">
        <is>
          <t>60s</t>
        </is>
      </c>
      <c r="J138" s="30" t="inlineStr">
        <is>
          <t>Same</t>
        </is>
      </c>
      <c r="K138" s="30" t="inlineStr"/>
      <c r="L138" s="30" t="inlineStr"/>
      <c r="M138" s="30" t="inlineStr"/>
      <c r="N138" s="30" t="inlineStr"/>
      <c r="O138" s="30" t="inlineStr">
        <is>
          <t>Same cue</t>
        </is>
      </c>
    </row>
    <row r="139">
      <c r="A139" s="49" t="inlineStr">
        <is>
          <t>P3-D3-CLR-2</t>
        </is>
      </c>
      <c r="B139" s="49" t="inlineStr">
        <is>
          <t>3</t>
        </is>
      </c>
      <c r="C139" s="49" t="inlineStr">
        <is>
          <t>3</t>
        </is>
      </c>
      <c r="D139" s="49" t="inlineStr">
        <is>
          <t>COOLDOWN</t>
        </is>
      </c>
      <c r="E139" s="49" t="inlineStr">
        <is>
          <t>2</t>
        </is>
      </c>
      <c r="F139" s="49" t="inlineStr">
        <is>
          <t>STANDARD</t>
        </is>
      </c>
      <c r="G139" s="49" t="inlineStr">
        <is>
          <t>Shoulder Cross Body</t>
        </is>
      </c>
      <c r="H139" s="49" t="inlineStr">
        <is>
          <t>2</t>
        </is>
      </c>
      <c r="I139" s="49" t="inlineStr">
        <is>
          <t>45s each</t>
        </is>
      </c>
      <c r="J139" s="49" t="inlineStr">
        <is>
          <t>Same</t>
        </is>
      </c>
      <c r="K139" s="49" t="inlineStr"/>
      <c r="L139" s="49" t="inlineStr"/>
      <c r="M139" s="49" t="inlineStr"/>
      <c r="N139" s="49" t="inlineStr"/>
      <c r="O139" s="49" t="inlineStr">
        <is>
          <t>Same cue</t>
        </is>
      </c>
    </row>
    <row r="140">
      <c r="A140" s="30" t="inlineStr">
        <is>
          <t>P3-D3-CLR-3</t>
        </is>
      </c>
      <c r="B140" s="30" t="inlineStr">
        <is>
          <t>3</t>
        </is>
      </c>
      <c r="C140" s="30" t="inlineStr">
        <is>
          <t>3</t>
        </is>
      </c>
      <c r="D140" s="30" t="inlineStr">
        <is>
          <t>COOLDOWN</t>
        </is>
      </c>
      <c r="E140" s="30" t="inlineStr">
        <is>
          <t>3</t>
        </is>
      </c>
      <c r="F140" s="30" t="inlineStr">
        <is>
          <t>STANDARD</t>
        </is>
      </c>
      <c r="G140" s="30" t="inlineStr">
        <is>
          <t>Thread the Needle</t>
        </is>
      </c>
      <c r="H140" s="30" t="inlineStr">
        <is>
          <t>2</t>
        </is>
      </c>
      <c r="I140" s="30" t="inlineStr">
        <is>
          <t>45s each</t>
        </is>
      </c>
      <c r="J140" s="30" t="inlineStr">
        <is>
          <t>Same</t>
        </is>
      </c>
      <c r="K140" s="30" t="inlineStr"/>
      <c r="L140" s="30" t="inlineStr"/>
      <c r="M140" s="30" t="inlineStr"/>
      <c r="N140" s="30" t="inlineStr"/>
      <c r="O140" s="30" t="inlineStr">
        <is>
          <t>Same cue</t>
        </is>
      </c>
    </row>
    <row r="141">
      <c r="A141" s="49" t="inlineStr">
        <is>
          <t>P3-D3-CLR-4</t>
        </is>
      </c>
      <c r="B141" s="49" t="inlineStr">
        <is>
          <t>3</t>
        </is>
      </c>
      <c r="C141" s="49" t="inlineStr">
        <is>
          <t>3</t>
        </is>
      </c>
      <c r="D141" s="49" t="inlineStr">
        <is>
          <t>COOLDOWN</t>
        </is>
      </c>
      <c r="E141" s="49" t="inlineStr">
        <is>
          <t>4</t>
        </is>
      </c>
      <c r="F141" s="49" t="inlineStr">
        <is>
          <t>STANDARD</t>
        </is>
      </c>
      <c r="G141" s="49" t="inlineStr">
        <is>
          <t>Doorway Hip Flexor</t>
        </is>
      </c>
      <c r="H141" s="49" t="inlineStr">
        <is>
          <t>2</t>
        </is>
      </c>
      <c r="I141" s="49" t="inlineStr">
        <is>
          <t>45s each</t>
        </is>
      </c>
      <c r="J141" s="49" t="inlineStr">
        <is>
          <t>RIGHT priority</t>
        </is>
      </c>
      <c r="K141" s="49" t="inlineStr"/>
      <c r="L141" s="49" t="inlineStr"/>
      <c r="M141" s="49" t="inlineStr"/>
      <c r="N141" s="49" t="inlineStr"/>
      <c r="O141" s="49" t="inlineStr">
        <is>
          <t>Same cue</t>
        </is>
      </c>
    </row>
    <row r="142">
      <c r="A142" s="30" t="inlineStr">
        <is>
          <t>P3-D5-MOB-1-STD</t>
        </is>
      </c>
      <c r="B142" s="30" t="inlineStr">
        <is>
          <t>3</t>
        </is>
      </c>
      <c r="C142" s="30" t="inlineStr">
        <is>
          <t>5</t>
        </is>
      </c>
      <c r="D142" s="30" t="inlineStr">
        <is>
          <t>MOBILITY</t>
        </is>
      </c>
      <c r="E142" s="30" t="inlineStr">
        <is>
          <t>1</t>
        </is>
      </c>
      <c r="F142" s="30" t="inlineStr">
        <is>
          <t>STANDARD</t>
        </is>
      </c>
      <c r="G142" s="30" t="inlineStr">
        <is>
          <t>Cossack Squat + Pause</t>
        </is>
      </c>
      <c r="H142" s="30" t="inlineStr">
        <is>
          <t>2</t>
        </is>
      </c>
      <c r="I142" s="30" t="inlineStr">
        <is>
          <t>6 each</t>
        </is>
      </c>
      <c r="J142" s="30" t="inlineStr">
        <is>
          <t>Same as P2</t>
        </is>
      </c>
      <c r="K142" s="30" t="inlineStr"/>
      <c r="L142" s="30" t="inlineStr"/>
      <c r="M142" s="30" t="inlineStr"/>
      <c r="N142" s="30" t="inlineStr"/>
      <c r="O142" s="30" t="inlineStr">
        <is>
          <t>Same cue</t>
        </is>
      </c>
    </row>
    <row r="143">
      <c r="A143" s="49" t="inlineStr">
        <is>
          <t>P3-D5-MOB-2-STD</t>
        </is>
      </c>
      <c r="B143" s="49" t="inlineStr">
        <is>
          <t>3</t>
        </is>
      </c>
      <c r="C143" s="49" t="inlineStr">
        <is>
          <t>5</t>
        </is>
      </c>
      <c r="D143" s="49" t="inlineStr">
        <is>
          <t>MOBILITY</t>
        </is>
      </c>
      <c r="E143" s="49" t="inlineStr">
        <is>
          <t>2</t>
        </is>
      </c>
      <c r="F143" s="49" t="inlineStr">
        <is>
          <t>STANDARD</t>
        </is>
      </c>
      <c r="G143" s="49" t="inlineStr">
        <is>
          <t>Band Hip Abduction</t>
        </is>
      </c>
      <c r="H143" s="49" t="inlineStr">
        <is>
          <t>2</t>
        </is>
      </c>
      <c r="I143" s="49" t="inlineStr">
        <is>
          <t>20 reps</t>
        </is>
      </c>
      <c r="J143" s="49" t="inlineStr">
        <is>
          <t>Same as P2</t>
        </is>
      </c>
      <c r="K143" s="49" t="inlineStr"/>
      <c r="L143" s="49" t="inlineStr"/>
      <c r="M143" s="49" t="inlineStr"/>
      <c r="N143" s="49" t="inlineStr"/>
      <c r="O143" s="49" t="inlineStr">
        <is>
          <t>Same cue</t>
        </is>
      </c>
    </row>
    <row r="144">
      <c r="A144" s="30" t="inlineStr">
        <is>
          <t>P3-D5-MOB-3-STD</t>
        </is>
      </c>
      <c r="B144" s="30" t="inlineStr">
        <is>
          <t>3</t>
        </is>
      </c>
      <c r="C144" s="30" t="inlineStr">
        <is>
          <t>5</t>
        </is>
      </c>
      <c r="D144" s="30" t="inlineStr">
        <is>
          <t>MOBILITY</t>
        </is>
      </c>
      <c r="E144" s="30" t="inlineStr">
        <is>
          <t>3</t>
        </is>
      </c>
      <c r="F144" s="30" t="inlineStr">
        <is>
          <t>STANDARD</t>
        </is>
      </c>
      <c r="G144" s="30" t="inlineStr">
        <is>
          <t>Lateral Lunge Adductor</t>
        </is>
      </c>
      <c r="H144" s="30" t="inlineStr">
        <is>
          <t>2</t>
        </is>
      </c>
      <c r="I144" s="30" t="inlineStr">
        <is>
          <t>8 each</t>
        </is>
      </c>
      <c r="J144" s="30" t="inlineStr">
        <is>
          <t>Same as P2</t>
        </is>
      </c>
      <c r="K144" s="30" t="inlineStr"/>
      <c r="L144" s="30" t="inlineStr"/>
      <c r="M144" s="30" t="inlineStr"/>
      <c r="N144" s="30" t="inlineStr"/>
      <c r="O144" s="30" t="inlineStr">
        <is>
          <t>Same cue</t>
        </is>
      </c>
    </row>
    <row r="145">
      <c r="A145" s="49" t="inlineStr">
        <is>
          <t>P3-D5-MOB-4-STD</t>
        </is>
      </c>
      <c r="B145" s="49" t="inlineStr">
        <is>
          <t>3</t>
        </is>
      </c>
      <c r="C145" s="49" t="inlineStr">
        <is>
          <t>5</t>
        </is>
      </c>
      <c r="D145" s="49" t="inlineStr">
        <is>
          <t>MOBILITY</t>
        </is>
      </c>
      <c r="E145" s="49" t="inlineStr">
        <is>
          <t>4</t>
        </is>
      </c>
      <c r="F145" s="49" t="inlineStr">
        <is>
          <t>STANDARD</t>
        </is>
      </c>
      <c r="G145" s="49" t="inlineStr">
        <is>
          <t>Hip Flexion + External Rotation</t>
        </is>
      </c>
      <c r="H145" s="49" t="inlineStr">
        <is>
          <t>2</t>
        </is>
      </c>
      <c r="I145" s="49" t="inlineStr">
        <is>
          <t>45s each</t>
        </is>
      </c>
      <c r="J145" s="49" t="inlineStr">
        <is>
          <t>RIGHT priority</t>
        </is>
      </c>
      <c r="K145" s="49" t="inlineStr"/>
      <c r="L145" s="49" t="inlineStr"/>
      <c r="M145" s="49" t="inlineStr"/>
      <c r="N145" s="49" t="inlineStr"/>
      <c r="O145" s="49" t="inlineStr">
        <is>
          <t>Same cue</t>
        </is>
      </c>
    </row>
    <row r="146">
      <c r="A146" s="30" t="inlineStr">
        <is>
          <t>P3-D5-MOB-5-STD</t>
        </is>
      </c>
      <c r="B146" s="30" t="inlineStr">
        <is>
          <t>3</t>
        </is>
      </c>
      <c r="C146" s="30" t="inlineStr">
        <is>
          <t>5</t>
        </is>
      </c>
      <c r="D146" s="30" t="inlineStr">
        <is>
          <t>MOBILITY</t>
        </is>
      </c>
      <c r="E146" s="30" t="inlineStr">
        <is>
          <t>5</t>
        </is>
      </c>
      <c r="F146" s="30" t="inlineStr">
        <is>
          <t>STANDARD</t>
        </is>
      </c>
      <c r="G146" s="30" t="inlineStr">
        <is>
          <t>Supine Hip CARs</t>
        </is>
      </c>
      <c r="H146" s="30" t="inlineStr">
        <is>
          <t>2</t>
        </is>
      </c>
      <c r="I146" s="30" t="inlineStr">
        <is>
          <t>6 each direction</t>
        </is>
      </c>
      <c r="J146" s="30" t="inlineStr">
        <is>
          <t>Same as P2</t>
        </is>
      </c>
      <c r="K146" s="30" t="inlineStr"/>
      <c r="L146" s="30" t="inlineStr"/>
      <c r="M146" s="30" t="inlineStr"/>
      <c r="N146" s="30" t="inlineStr"/>
      <c r="O146" s="30" t="inlineStr">
        <is>
          <t>Same cue</t>
        </is>
      </c>
    </row>
    <row r="147">
      <c r="A147" s="49" t="inlineStr">
        <is>
          <t>P3-D5-MOB-1-HA</t>
        </is>
      </c>
      <c r="B147" s="49" t="inlineStr">
        <is>
          <t>3</t>
        </is>
      </c>
      <c r="C147" s="49" t="inlineStr">
        <is>
          <t>5</t>
        </is>
      </c>
      <c r="D147" s="49" t="inlineStr">
        <is>
          <t>MOBILITY</t>
        </is>
      </c>
      <c r="E147" s="49" t="inlineStr">
        <is>
          <t>1</t>
        </is>
      </c>
      <c r="F147" s="49" t="inlineStr">
        <is>
          <t>HIGH_ALERT</t>
        </is>
      </c>
      <c r="G147" s="49" t="inlineStr">
        <is>
          <t>Hip CARs (Slow)</t>
        </is>
      </c>
      <c r="H147" s="49" t="inlineStr">
        <is>
          <t>2</t>
        </is>
      </c>
      <c r="I147" s="49" t="inlineStr">
        <is>
          <t>5 each</t>
        </is>
      </c>
      <c r="J147" s="49" t="inlineStr">
        <is>
          <t>Same</t>
        </is>
      </c>
      <c r="K147" s="49" t="inlineStr"/>
      <c r="L147" s="49" t="inlineStr"/>
      <c r="M147" s="49" t="inlineStr"/>
      <c r="N147" s="49" t="inlineStr"/>
      <c r="O147" s="49" t="inlineStr">
        <is>
          <t>Same cue</t>
        </is>
      </c>
    </row>
    <row r="148">
      <c r="A148" s="30" t="inlineStr">
        <is>
          <t>P3-D5-MOB-2-HA</t>
        </is>
      </c>
      <c r="B148" s="30" t="inlineStr">
        <is>
          <t>3</t>
        </is>
      </c>
      <c r="C148" s="30" t="inlineStr">
        <is>
          <t>5</t>
        </is>
      </c>
      <c r="D148" s="30" t="inlineStr">
        <is>
          <t>MOBILITY</t>
        </is>
      </c>
      <c r="E148" s="30" t="inlineStr">
        <is>
          <t>2</t>
        </is>
      </c>
      <c r="F148" s="30" t="inlineStr">
        <is>
          <t>HIGH_ALERT</t>
        </is>
      </c>
      <c r="G148" s="30" t="inlineStr">
        <is>
          <t>90/90 Stretch</t>
        </is>
      </c>
      <c r="H148" s="30" t="inlineStr">
        <is>
          <t>3</t>
        </is>
      </c>
      <c r="I148" s="30" t="inlineStr">
        <is>
          <t>90s each side</t>
        </is>
      </c>
      <c r="J148" s="30" t="inlineStr">
        <is>
          <t>RIGHT non-negotiable</t>
        </is>
      </c>
      <c r="K148" s="30" t="inlineStr"/>
      <c r="L148" s="30" t="inlineStr"/>
      <c r="M148" s="30" t="inlineStr"/>
      <c r="N148" s="30" t="inlineStr"/>
      <c r="O148" s="30" t="inlineStr">
        <is>
          <t>Same cue</t>
        </is>
      </c>
    </row>
    <row r="149">
      <c r="A149" s="49" t="inlineStr">
        <is>
          <t>P3-D5-MOB-3-HA</t>
        </is>
      </c>
      <c r="B149" s="49" t="inlineStr">
        <is>
          <t>3</t>
        </is>
      </c>
      <c r="C149" s="49" t="inlineStr">
        <is>
          <t>5</t>
        </is>
      </c>
      <c r="D149" s="49" t="inlineStr">
        <is>
          <t>MOBILITY</t>
        </is>
      </c>
      <c r="E149" s="49" t="inlineStr">
        <is>
          <t>3</t>
        </is>
      </c>
      <c r="F149" s="49" t="inlineStr">
        <is>
          <t>HIGH_ALERT</t>
        </is>
      </c>
      <c r="G149" s="49" t="inlineStr">
        <is>
          <t>Adductor PAILs-RAILs</t>
        </is>
      </c>
      <c r="H149" s="49" t="inlineStr">
        <is>
          <t>2</t>
        </is>
      </c>
      <c r="I149" s="49" t="inlineStr">
        <is>
          <t>45s</t>
        </is>
      </c>
      <c r="J149" s="49" t="inlineStr">
        <is>
          <t>Same</t>
        </is>
      </c>
      <c r="K149" s="49" t="inlineStr"/>
      <c r="L149" s="49" t="inlineStr"/>
      <c r="M149" s="49" t="inlineStr"/>
      <c r="N149" s="49" t="inlineStr"/>
      <c r="O149" s="49" t="inlineStr">
        <is>
          <t>Same cue</t>
        </is>
      </c>
    </row>
    <row r="150">
      <c r="A150" s="30" t="inlineStr">
        <is>
          <t>P3-D5-STR-1</t>
        </is>
      </c>
      <c r="B150" s="30" t="inlineStr">
        <is>
          <t>3</t>
        </is>
      </c>
      <c r="C150" s="30" t="inlineStr">
        <is>
          <t>5</t>
        </is>
      </c>
      <c r="D150" s="30" t="inlineStr">
        <is>
          <t>STRENGTH</t>
        </is>
      </c>
      <c r="E150" s="30" t="inlineStr">
        <is>
          <t>1</t>
        </is>
      </c>
      <c r="F150" s="30" t="inlineStr">
        <is>
          <t>STANDARD</t>
        </is>
      </c>
      <c r="G150" s="30" t="inlineStr">
        <is>
          <t>Bulgarian Split Squat</t>
        </is>
      </c>
      <c r="H150" s="30" t="inlineStr">
        <is>
          <t>4</t>
        </is>
      </c>
      <c r="I150" s="30" t="inlineStr">
        <is>
          <t>4 reps each</t>
        </is>
      </c>
      <c r="J150" s="30" t="inlineStr">
        <is>
          <t>Peak load — +15 to 20kg</t>
        </is>
      </c>
      <c r="K150" s="30" t="inlineStr">
        <is>
          <t>Single-Leg Box Jump</t>
        </is>
      </c>
      <c r="L150" s="30" t="inlineStr">
        <is>
          <t>4</t>
        </is>
      </c>
      <c r="M150" s="30" t="inlineStr">
        <is>
          <t>4</t>
        </is>
      </c>
      <c r="N150" s="30" t="inlineStr"/>
      <c r="O150" s="30" t="inlineStr">
        <is>
          <t>Phase 3: heaviest split squat. This is your kick power on the scale.</t>
        </is>
      </c>
    </row>
    <row r="151">
      <c r="A151" s="49" t="inlineStr">
        <is>
          <t>P3-D5-STR-2</t>
        </is>
      </c>
      <c r="B151" s="49" t="inlineStr">
        <is>
          <t>3</t>
        </is>
      </c>
      <c r="C151" s="49" t="inlineStr">
        <is>
          <t>5</t>
        </is>
      </c>
      <c r="D151" s="49" t="inlineStr">
        <is>
          <t>STRENGTH</t>
        </is>
      </c>
      <c r="E151" s="49" t="inlineStr">
        <is>
          <t>2</t>
        </is>
      </c>
      <c r="F151" s="49" t="inlineStr">
        <is>
          <t>STANDARD</t>
        </is>
      </c>
      <c r="G151" s="49" t="inlineStr">
        <is>
          <t>Single-Leg RDL</t>
        </is>
      </c>
      <c r="H151" s="49" t="inlineStr">
        <is>
          <t>3</t>
        </is>
      </c>
      <c r="I151" s="49" t="inlineStr">
        <is>
          <t>6 each</t>
        </is>
      </c>
      <c r="J151" s="49" t="inlineStr">
        <is>
          <t>Heavy — controlled</t>
        </is>
      </c>
      <c r="K151" s="49" t="inlineStr"/>
      <c r="L151" s="49" t="inlineStr"/>
      <c r="M151" s="49" t="inlineStr"/>
      <c r="N151" s="49" t="inlineStr"/>
      <c r="O151" s="49" t="inlineStr"/>
    </row>
    <row r="152">
      <c r="A152" s="30" t="inlineStr">
        <is>
          <t>P3-D5-STR-3</t>
        </is>
      </c>
      <c r="B152" s="30" t="inlineStr">
        <is>
          <t>3</t>
        </is>
      </c>
      <c r="C152" s="30" t="inlineStr">
        <is>
          <t>5</t>
        </is>
      </c>
      <c r="D152" s="30" t="inlineStr">
        <is>
          <t>STRENGTH</t>
        </is>
      </c>
      <c r="E152" s="30" t="inlineStr">
        <is>
          <t>3</t>
        </is>
      </c>
      <c r="F152" s="30" t="inlineStr">
        <is>
          <t>STANDARD</t>
        </is>
      </c>
      <c r="G152" s="30" t="inlineStr">
        <is>
          <t>Copenhagen Plank</t>
        </is>
      </c>
      <c r="H152" s="30" t="inlineStr">
        <is>
          <t>3</t>
        </is>
      </c>
      <c r="I152" s="30" t="inlineStr">
        <is>
          <t>30s each</t>
        </is>
      </c>
      <c r="J152" s="30" t="inlineStr">
        <is>
          <t>Longest hold — Phase 3</t>
        </is>
      </c>
      <c r="K152" s="30" t="inlineStr"/>
      <c r="L152" s="30" t="inlineStr"/>
      <c r="M152" s="30" t="inlineStr"/>
      <c r="N152" s="30" t="inlineStr"/>
      <c r="O152" s="30" t="inlineStr"/>
    </row>
    <row r="153">
      <c r="A153" s="49" t="inlineStr">
        <is>
          <t>P3-D5-STR-4</t>
        </is>
      </c>
      <c r="B153" s="49" t="inlineStr">
        <is>
          <t>3</t>
        </is>
      </c>
      <c r="C153" s="49" t="inlineStr">
        <is>
          <t>5</t>
        </is>
      </c>
      <c r="D153" s="49" t="inlineStr">
        <is>
          <t>STRENGTH</t>
        </is>
      </c>
      <c r="E153" s="49" t="inlineStr">
        <is>
          <t>4</t>
        </is>
      </c>
      <c r="F153" s="49" t="inlineStr">
        <is>
          <t>STANDARD</t>
        </is>
      </c>
      <c r="G153" s="49" t="inlineStr">
        <is>
          <t>Single-Leg Hip Thrust</t>
        </is>
      </c>
      <c r="H153" s="49" t="inlineStr">
        <is>
          <t>3</t>
        </is>
      </c>
      <c r="I153" s="49" t="inlineStr">
        <is>
          <t>8 each</t>
        </is>
      </c>
      <c r="J153" s="49" t="inlineStr">
        <is>
          <t>Heavy + 2s pause at top</t>
        </is>
      </c>
      <c r="K153" s="49" t="inlineStr"/>
      <c r="L153" s="49" t="inlineStr"/>
      <c r="M153" s="49" t="inlineStr"/>
      <c r="N153" s="49" t="inlineStr"/>
      <c r="O153" s="49" t="inlineStr"/>
    </row>
    <row r="154">
      <c r="A154" s="30" t="inlineStr">
        <is>
          <t>P3-D5-BAG-1</t>
        </is>
      </c>
      <c r="B154" s="30" t="inlineStr">
        <is>
          <t>3</t>
        </is>
      </c>
      <c r="C154" s="30" t="inlineStr">
        <is>
          <t>5</t>
        </is>
      </c>
      <c r="D154" s="30" t="inlineStr">
        <is>
          <t>BAG</t>
        </is>
      </c>
      <c r="E154" s="30" t="inlineStr">
        <is>
          <t>1</t>
        </is>
      </c>
      <c r="F154" s="30" t="inlineStr">
        <is>
          <t>STANDARD</t>
        </is>
      </c>
      <c r="G154" s="30" t="inlineStr">
        <is>
          <t>Bag Work — Head Kick Masterclass</t>
        </is>
      </c>
      <c r="H154" s="30" t="inlineStr">
        <is>
          <t>8</t>
        </is>
      </c>
      <c r="I154" s="30" t="inlineStr">
        <is>
          <t>3 min rounds</t>
        </is>
      </c>
      <c r="J154" s="30" t="inlineStr">
        <is>
          <t>60s rest</t>
        </is>
      </c>
      <c r="K154" s="30" t="inlineStr"/>
      <c r="L154" s="30" t="inlineStr"/>
      <c r="M154" s="30" t="inlineStr"/>
      <c r="N154" s="30" t="inlineStr">
        <is>
          <t>R1-2: Setup only (no full kick) | R3-4: Full head kick from orthodox | R5: Switch foot head kick | R6: 3-punch + head kick | R7: Defence + head kick counter | R8: Full fight — use everything</t>
        </is>
      </c>
      <c r="O154" s="30" t="inlineStr">
        <is>
          <t>Phase 3 pinnacle. Head kicks come from the hip. Not the leg.</t>
        </is>
      </c>
    </row>
    <row r="155">
      <c r="A155" s="49" t="inlineStr">
        <is>
          <t>P3-D5-CLR-1</t>
        </is>
      </c>
      <c r="B155" s="49" t="inlineStr">
        <is>
          <t>3</t>
        </is>
      </c>
      <c r="C155" s="49" t="inlineStr">
        <is>
          <t>5</t>
        </is>
      </c>
      <c r="D155" s="49" t="inlineStr">
        <is>
          <t>COOLDOWN</t>
        </is>
      </c>
      <c r="E155" s="49" t="inlineStr">
        <is>
          <t>1</t>
        </is>
      </c>
      <c r="F155" s="49" t="inlineStr">
        <is>
          <t>STANDARD</t>
        </is>
      </c>
      <c r="G155" s="49" t="inlineStr">
        <is>
          <t>Pigeon Pose EXTENDED</t>
        </is>
      </c>
      <c r="H155" s="49" t="inlineStr">
        <is>
          <t>3</t>
        </is>
      </c>
      <c r="I155" s="49" t="inlineStr">
        <is>
          <t>90s each</t>
        </is>
      </c>
      <c r="J155" s="49" t="inlineStr">
        <is>
          <t>Never skip this</t>
        </is>
      </c>
      <c r="K155" s="49" t="inlineStr"/>
      <c r="L155" s="49" t="inlineStr"/>
      <c r="M155" s="49" t="inlineStr"/>
      <c r="N155" s="49" t="inlineStr"/>
      <c r="O155" s="49" t="inlineStr">
        <is>
          <t>Non-negotiable forever</t>
        </is>
      </c>
    </row>
    <row r="156">
      <c r="A156" s="30" t="inlineStr">
        <is>
          <t>P3-D5-CLR-2</t>
        </is>
      </c>
      <c r="B156" s="30" t="inlineStr">
        <is>
          <t>3</t>
        </is>
      </c>
      <c r="C156" s="30" t="inlineStr">
        <is>
          <t>5</t>
        </is>
      </c>
      <c r="D156" s="30" t="inlineStr">
        <is>
          <t>COOLDOWN</t>
        </is>
      </c>
      <c r="E156" s="30" t="inlineStr">
        <is>
          <t>2</t>
        </is>
      </c>
      <c r="F156" s="30" t="inlineStr">
        <is>
          <t>STANDARD</t>
        </is>
      </c>
      <c r="G156" s="30" t="inlineStr">
        <is>
          <t>Prone Hip Extension</t>
        </is>
      </c>
      <c r="H156" s="30" t="inlineStr">
        <is>
          <t>2</t>
        </is>
      </c>
      <c r="I156" s="30" t="inlineStr">
        <is>
          <t>60s each</t>
        </is>
      </c>
      <c r="J156" s="30" t="inlineStr">
        <is>
          <t>Same</t>
        </is>
      </c>
      <c r="K156" s="30" t="inlineStr"/>
      <c r="L156" s="30" t="inlineStr"/>
      <c r="M156" s="30" t="inlineStr"/>
      <c r="N156" s="30" t="inlineStr"/>
      <c r="O156" s="30" t="inlineStr">
        <is>
          <t>Same cue</t>
        </is>
      </c>
    </row>
    <row r="157">
      <c r="A157" s="49" t="inlineStr">
        <is>
          <t>P3-D5-CLR-3</t>
        </is>
      </c>
      <c r="B157" s="49" t="inlineStr">
        <is>
          <t>3</t>
        </is>
      </c>
      <c r="C157" s="49" t="inlineStr">
        <is>
          <t>5</t>
        </is>
      </c>
      <c r="D157" s="49" t="inlineStr">
        <is>
          <t>COOLDOWN</t>
        </is>
      </c>
      <c r="E157" s="49" t="inlineStr">
        <is>
          <t>3</t>
        </is>
      </c>
      <c r="F157" s="49" t="inlineStr">
        <is>
          <t>STANDARD</t>
        </is>
      </c>
      <c r="G157" s="49" t="inlineStr">
        <is>
          <t>Child's Pose + Hip Shift</t>
        </is>
      </c>
      <c r="H157" s="49" t="inlineStr">
        <is>
          <t>2</t>
        </is>
      </c>
      <c r="I157" s="49" t="inlineStr">
        <is>
          <t>60s each</t>
        </is>
      </c>
      <c r="J157" s="49" t="inlineStr">
        <is>
          <t>Same</t>
        </is>
      </c>
      <c r="K157" s="49" t="inlineStr"/>
      <c r="L157" s="49" t="inlineStr"/>
      <c r="M157" s="49" t="inlineStr"/>
      <c r="N157" s="49" t="inlineStr"/>
      <c r="O157" s="49" t="inlineStr">
        <is>
          <t>Same cue</t>
        </is>
      </c>
    </row>
    <row r="158">
      <c r="A158" s="30" t="inlineStr">
        <is>
          <t>P3-D5-CLR-4</t>
        </is>
      </c>
      <c r="B158" s="30" t="inlineStr">
        <is>
          <t>3</t>
        </is>
      </c>
      <c r="C158" s="30" t="inlineStr">
        <is>
          <t>5</t>
        </is>
      </c>
      <c r="D158" s="30" t="inlineStr">
        <is>
          <t>COOLDOWN</t>
        </is>
      </c>
      <c r="E158" s="30" t="inlineStr">
        <is>
          <t>4</t>
        </is>
      </c>
      <c r="F158" s="30" t="inlineStr">
        <is>
          <t>STANDARD</t>
        </is>
      </c>
      <c r="G158" s="30" t="inlineStr">
        <is>
          <t>Side-Lying Hip Abduction Hold</t>
        </is>
      </c>
      <c r="H158" s="30" t="inlineStr">
        <is>
          <t>2</t>
        </is>
      </c>
      <c r="I158" s="30" t="inlineStr">
        <is>
          <t>45s each</t>
        </is>
      </c>
      <c r="J158" s="30" t="inlineStr">
        <is>
          <t>Same</t>
        </is>
      </c>
      <c r="K158" s="30" t="inlineStr"/>
      <c r="L158" s="30" t="inlineStr"/>
      <c r="M158" s="30" t="inlineStr"/>
      <c r="N158" s="30" t="inlineStr"/>
      <c r="O158" s="30" t="inlineStr">
        <is>
          <t>Same cue</t>
        </is>
      </c>
    </row>
    <row r="159">
      <c r="A159" s="49" t="inlineStr">
        <is>
          <t>P3-D5-CLR-5</t>
        </is>
      </c>
      <c r="B159" s="49" t="inlineStr">
        <is>
          <t>3</t>
        </is>
      </c>
      <c r="C159" s="49" t="inlineStr">
        <is>
          <t>5</t>
        </is>
      </c>
      <c r="D159" s="49" t="inlineStr">
        <is>
          <t>COOLDOWN</t>
        </is>
      </c>
      <c r="E159" s="49" t="inlineStr">
        <is>
          <t>5</t>
        </is>
      </c>
      <c r="F159" s="49" t="inlineStr">
        <is>
          <t>STANDARD</t>
        </is>
      </c>
      <c r="G159" s="49" t="inlineStr">
        <is>
          <t>Supine Spinal Twist</t>
        </is>
      </c>
      <c r="H159" s="49" t="inlineStr">
        <is>
          <t>2</t>
        </is>
      </c>
      <c r="I159" s="49" t="inlineStr">
        <is>
          <t>60s each</t>
        </is>
      </c>
      <c r="J159" s="49" t="inlineStr">
        <is>
          <t>Same</t>
        </is>
      </c>
      <c r="K159" s="49" t="inlineStr"/>
      <c r="L159" s="49" t="inlineStr"/>
      <c r="M159" s="49" t="inlineStr"/>
      <c r="N159" s="49" t="inlineStr"/>
      <c r="O159" s="49" t="inlineStr">
        <is>
          <t>Same cue</t>
        </is>
      </c>
    </row>
    <row r="160">
      <c r="A160" s="30" t="inlineStr">
        <is>
          <t>P3-D6-MOB-1-STD</t>
        </is>
      </c>
      <c r="B160" s="30" t="inlineStr">
        <is>
          <t>3</t>
        </is>
      </c>
      <c r="C160" s="30" t="inlineStr">
        <is>
          <t>6</t>
        </is>
      </c>
      <c r="D160" s="30" t="inlineStr">
        <is>
          <t>MOBILITY</t>
        </is>
      </c>
      <c r="E160" s="30" t="inlineStr">
        <is>
          <t>1</t>
        </is>
      </c>
      <c r="F160" s="30" t="inlineStr">
        <is>
          <t>STANDARD</t>
        </is>
      </c>
      <c r="G160" s="30" t="inlineStr">
        <is>
          <t>Band Pull-Apart</t>
        </is>
      </c>
      <c r="H160" s="30" t="inlineStr">
        <is>
          <t>2</t>
        </is>
      </c>
      <c r="I160" s="30" t="inlineStr">
        <is>
          <t>15 reps</t>
        </is>
      </c>
      <c r="J160" s="30" t="inlineStr">
        <is>
          <t>Same</t>
        </is>
      </c>
      <c r="K160" s="30" t="inlineStr"/>
      <c r="L160" s="30" t="inlineStr"/>
      <c r="M160" s="30" t="inlineStr"/>
      <c r="N160" s="30" t="inlineStr"/>
      <c r="O160" s="30" t="inlineStr">
        <is>
          <t>Same cue</t>
        </is>
      </c>
    </row>
    <row r="161">
      <c r="A161" s="49" t="inlineStr">
        <is>
          <t>P3-D6-MOB-2-STD</t>
        </is>
      </c>
      <c r="B161" s="49" t="inlineStr">
        <is>
          <t>3</t>
        </is>
      </c>
      <c r="C161" s="49" t="inlineStr">
        <is>
          <t>6</t>
        </is>
      </c>
      <c r="D161" s="49" t="inlineStr">
        <is>
          <t>MOBILITY</t>
        </is>
      </c>
      <c r="E161" s="49" t="inlineStr">
        <is>
          <t>2</t>
        </is>
      </c>
      <c r="F161" s="49" t="inlineStr">
        <is>
          <t>STANDARD</t>
        </is>
      </c>
      <c r="G161" s="49" t="inlineStr">
        <is>
          <t>Scapular Wall Slides</t>
        </is>
      </c>
      <c r="H161" s="49" t="inlineStr">
        <is>
          <t>2</t>
        </is>
      </c>
      <c r="I161" s="49" t="inlineStr">
        <is>
          <t>10 reps</t>
        </is>
      </c>
      <c r="J161" s="49" t="inlineStr">
        <is>
          <t>Same</t>
        </is>
      </c>
      <c r="K161" s="49" t="inlineStr"/>
      <c r="L161" s="49" t="inlineStr"/>
      <c r="M161" s="49" t="inlineStr"/>
      <c r="N161" s="49" t="inlineStr"/>
      <c r="O161" s="49" t="inlineStr">
        <is>
          <t>Same cue</t>
        </is>
      </c>
    </row>
    <row r="162">
      <c r="A162" s="30" t="inlineStr">
        <is>
          <t>P3-D6-MOB-3-STD</t>
        </is>
      </c>
      <c r="B162" s="30" t="inlineStr">
        <is>
          <t>3</t>
        </is>
      </c>
      <c r="C162" s="30" t="inlineStr">
        <is>
          <t>6</t>
        </is>
      </c>
      <c r="D162" s="30" t="inlineStr">
        <is>
          <t>MOBILITY</t>
        </is>
      </c>
      <c r="E162" s="30" t="inlineStr">
        <is>
          <t>3</t>
        </is>
      </c>
      <c r="F162" s="30" t="inlineStr">
        <is>
          <t>STANDARD</t>
        </is>
      </c>
      <c r="G162" s="30" t="inlineStr">
        <is>
          <t>T-Spine Extension over Foam Roller</t>
        </is>
      </c>
      <c r="H162" s="30" t="inlineStr">
        <is>
          <t>2</t>
        </is>
      </c>
      <c r="I162" s="30" t="inlineStr">
        <is>
          <t>10 reps</t>
        </is>
      </c>
      <c r="J162" s="30" t="inlineStr">
        <is>
          <t>Same</t>
        </is>
      </c>
      <c r="K162" s="30" t="inlineStr"/>
      <c r="L162" s="30" t="inlineStr"/>
      <c r="M162" s="30" t="inlineStr"/>
      <c r="N162" s="30" t="inlineStr"/>
      <c r="O162" s="30" t="inlineStr">
        <is>
          <t>Same cue</t>
        </is>
      </c>
    </row>
    <row r="163">
      <c r="A163" s="49" t="inlineStr">
        <is>
          <t>P3-D6-STR-1</t>
        </is>
      </c>
      <c r="B163" s="49" t="inlineStr">
        <is>
          <t>3</t>
        </is>
      </c>
      <c r="C163" s="49" t="inlineStr">
        <is>
          <t>6</t>
        </is>
      </c>
      <c r="D163" s="49" t="inlineStr">
        <is>
          <t>STRENGTH</t>
        </is>
      </c>
      <c r="E163" s="49" t="inlineStr">
        <is>
          <t>1</t>
        </is>
      </c>
      <c r="F163" s="49" t="inlineStr">
        <is>
          <t>STANDARD</t>
        </is>
      </c>
      <c r="G163" s="49" t="inlineStr">
        <is>
          <t>Weighted Pull-up</t>
        </is>
      </c>
      <c r="H163" s="49" t="inlineStr">
        <is>
          <t>4</t>
        </is>
      </c>
      <c r="I163" s="49" t="inlineStr">
        <is>
          <t>3 reps</t>
        </is>
      </c>
      <c r="J163" s="49" t="inlineStr">
        <is>
          <t>+30kg Phase 3 — near max</t>
        </is>
      </c>
      <c r="K163" s="49" t="inlineStr">
        <is>
          <t>Explosive Pull-up (BW)</t>
        </is>
      </c>
      <c r="L163" s="49" t="inlineStr">
        <is>
          <t>4</t>
        </is>
      </c>
      <c r="M163" s="49" t="inlineStr">
        <is>
          <t>6</t>
        </is>
      </c>
      <c r="N163" s="49" t="inlineStr"/>
      <c r="O163" s="49" t="inlineStr">
        <is>
          <t>Phase 3 peak. Rest enough between. Quality over speed.</t>
        </is>
      </c>
    </row>
    <row r="164">
      <c r="A164" s="30" t="inlineStr">
        <is>
          <t>P3-D6-STR-2</t>
        </is>
      </c>
      <c r="B164" s="30" t="inlineStr">
        <is>
          <t>3</t>
        </is>
      </c>
      <c r="C164" s="30" t="inlineStr">
        <is>
          <t>6</t>
        </is>
      </c>
      <c r="D164" s="30" t="inlineStr">
        <is>
          <t>STRENGTH</t>
        </is>
      </c>
      <c r="E164" s="30" t="inlineStr">
        <is>
          <t>2</t>
        </is>
      </c>
      <c r="F164" s="30" t="inlineStr">
        <is>
          <t>STANDARD</t>
        </is>
      </c>
      <c r="G164" s="30" t="inlineStr">
        <is>
          <t>Chest-Supported Row</t>
        </is>
      </c>
      <c r="H164" s="30" t="inlineStr">
        <is>
          <t>3</t>
        </is>
      </c>
      <c r="I164" s="30" t="inlineStr">
        <is>
          <t>5 reps</t>
        </is>
      </c>
      <c r="J164" s="30" t="inlineStr">
        <is>
          <t>Heavy</t>
        </is>
      </c>
      <c r="K164" s="30" t="inlineStr"/>
      <c r="L164" s="30" t="inlineStr"/>
      <c r="M164" s="30" t="inlineStr"/>
      <c r="N164" s="30" t="inlineStr"/>
      <c r="O164" s="30" t="inlineStr"/>
    </row>
    <row r="165">
      <c r="A165" s="49" t="inlineStr">
        <is>
          <t>P3-D6-STR-3</t>
        </is>
      </c>
      <c r="B165" s="49" t="inlineStr">
        <is>
          <t>3</t>
        </is>
      </c>
      <c r="C165" s="49" t="inlineStr">
        <is>
          <t>6</t>
        </is>
      </c>
      <c r="D165" s="49" t="inlineStr">
        <is>
          <t>STRENGTH</t>
        </is>
      </c>
      <c r="E165" s="49" t="inlineStr">
        <is>
          <t>3</t>
        </is>
      </c>
      <c r="F165" s="49" t="inlineStr">
        <is>
          <t>STANDARD</t>
        </is>
      </c>
      <c r="G165" s="49" t="inlineStr">
        <is>
          <t>Landmine Row + Rotation</t>
        </is>
      </c>
      <c r="H165" s="49" t="inlineStr">
        <is>
          <t>3</t>
        </is>
      </c>
      <c r="I165" s="49" t="inlineStr">
        <is>
          <t>8 each</t>
        </is>
      </c>
      <c r="J165" s="49" t="inlineStr">
        <is>
          <t>+5kg vs P2</t>
        </is>
      </c>
      <c r="K165" s="49" t="inlineStr"/>
      <c r="L165" s="49" t="inlineStr"/>
      <c r="M165" s="49" t="inlineStr"/>
      <c r="N165" s="49" t="inlineStr"/>
      <c r="O165" s="49" t="inlineStr">
        <is>
          <t>Same cue</t>
        </is>
      </c>
    </row>
    <row r="166">
      <c r="A166" s="30" t="inlineStr">
        <is>
          <t>P3-D6-STR-4</t>
        </is>
      </c>
      <c r="B166" s="30" t="inlineStr">
        <is>
          <t>3</t>
        </is>
      </c>
      <c r="C166" s="30" t="inlineStr">
        <is>
          <t>6</t>
        </is>
      </c>
      <c r="D166" s="30" t="inlineStr">
        <is>
          <t>STRENGTH</t>
        </is>
      </c>
      <c r="E166" s="30" t="inlineStr">
        <is>
          <t>4</t>
        </is>
      </c>
      <c r="F166" s="30" t="inlineStr">
        <is>
          <t>STANDARD</t>
        </is>
      </c>
      <c r="G166" s="30" t="inlineStr">
        <is>
          <t>Cable High-to-Low Woodchop</t>
        </is>
      </c>
      <c r="H166" s="30" t="inlineStr">
        <is>
          <t>3</t>
        </is>
      </c>
      <c r="I166" s="30" t="inlineStr">
        <is>
          <t>10 each</t>
        </is>
      </c>
      <c r="J166" s="30" t="inlineStr">
        <is>
          <t>Max controllable load</t>
        </is>
      </c>
      <c r="K166" s="30" t="inlineStr"/>
      <c r="L166" s="30" t="inlineStr"/>
      <c r="M166" s="30" t="inlineStr"/>
      <c r="N166" s="30" t="inlineStr"/>
      <c r="O166" s="30" t="inlineStr">
        <is>
          <t>Same cue</t>
        </is>
      </c>
    </row>
    <row r="167">
      <c r="A167" s="49" t="inlineStr">
        <is>
          <t>P3-D6-BAG-1</t>
        </is>
      </c>
      <c r="B167" s="49" t="inlineStr">
        <is>
          <t>3</t>
        </is>
      </c>
      <c r="C167" s="49" t="inlineStr">
        <is>
          <t>6</t>
        </is>
      </c>
      <c r="D167" s="49" t="inlineStr">
        <is>
          <t>BAG</t>
        </is>
      </c>
      <c r="E167" s="49" t="inlineStr">
        <is>
          <t>1</t>
        </is>
      </c>
      <c r="F167" s="49" t="inlineStr">
        <is>
          <t>STANDARD</t>
        </is>
      </c>
      <c r="G167" s="49" t="inlineStr">
        <is>
          <t>Bag Work — Full Fight Simulation</t>
        </is>
      </c>
      <c r="H167" s="49" t="inlineStr">
        <is>
          <t>8</t>
        </is>
      </c>
      <c r="I167" s="49" t="inlineStr">
        <is>
          <t>3 min rounds</t>
        </is>
      </c>
      <c r="J167" s="49" t="inlineStr">
        <is>
          <t>60s rest</t>
        </is>
      </c>
      <c r="K167" s="49" t="inlineStr"/>
      <c r="L167" s="49" t="inlineStr"/>
      <c r="M167" s="49" t="inlineStr"/>
      <c r="N167" s="49" t="inlineStr">
        <is>
          <t>Championship rounds: every round is a different opponent archetype. R1 vs Boxer. R2 vs Kicker. R3 vs Wrestler. R4 vs Pressure fighter. R5-8: Full flow.</t>
        </is>
      </c>
      <c r="O167" s="49" t="inlineStr">
        <is>
          <t>Phase 3 finale. You've built the power. Now you fight.</t>
        </is>
      </c>
    </row>
    <row r="168">
      <c r="A168" s="30" t="inlineStr">
        <is>
          <t>P3-D6-CLR-1</t>
        </is>
      </c>
      <c r="B168" s="30" t="inlineStr">
        <is>
          <t>3</t>
        </is>
      </c>
      <c r="C168" s="30" t="inlineStr">
        <is>
          <t>6</t>
        </is>
      </c>
      <c r="D168" s="30" t="inlineStr">
        <is>
          <t>COOLDOWN</t>
        </is>
      </c>
      <c r="E168" s="30" t="inlineStr">
        <is>
          <t>1</t>
        </is>
      </c>
      <c r="F168" s="30" t="inlineStr">
        <is>
          <t>STANDARD</t>
        </is>
      </c>
      <c r="G168" s="30" t="inlineStr">
        <is>
          <t>Lat/Serratus Band Stretch</t>
        </is>
      </c>
      <c r="H168" s="30" t="inlineStr">
        <is>
          <t>2</t>
        </is>
      </c>
      <c r="I168" s="30" t="inlineStr">
        <is>
          <t>45s each</t>
        </is>
      </c>
      <c r="J168" s="30" t="inlineStr">
        <is>
          <t>Same</t>
        </is>
      </c>
      <c r="K168" s="30" t="inlineStr"/>
      <c r="L168" s="30" t="inlineStr"/>
      <c r="M168" s="30" t="inlineStr"/>
      <c r="N168" s="30" t="inlineStr"/>
      <c r="O168" s="30" t="inlineStr">
        <is>
          <t>Same cue</t>
        </is>
      </c>
    </row>
    <row r="169">
      <c r="A169" s="49" t="inlineStr">
        <is>
          <t>P3-D6-CLR-2</t>
        </is>
      </c>
      <c r="B169" s="49" t="inlineStr">
        <is>
          <t>3</t>
        </is>
      </c>
      <c r="C169" s="49" t="inlineStr">
        <is>
          <t>6</t>
        </is>
      </c>
      <c r="D169" s="49" t="inlineStr">
        <is>
          <t>COOLDOWN</t>
        </is>
      </c>
      <c r="E169" s="49" t="inlineStr">
        <is>
          <t>2</t>
        </is>
      </c>
      <c r="F169" s="49" t="inlineStr">
        <is>
          <t>STANDARD</t>
        </is>
      </c>
      <c r="G169" s="49" t="inlineStr">
        <is>
          <t>Overhead Tricep Stretch</t>
        </is>
      </c>
      <c r="H169" s="49" t="inlineStr">
        <is>
          <t>2</t>
        </is>
      </c>
      <c r="I169" s="49" t="inlineStr">
        <is>
          <t>45s each</t>
        </is>
      </c>
      <c r="J169" s="49" t="inlineStr">
        <is>
          <t>Same</t>
        </is>
      </c>
      <c r="K169" s="49" t="inlineStr"/>
      <c r="L169" s="49" t="inlineStr"/>
      <c r="M169" s="49" t="inlineStr"/>
      <c r="N169" s="49" t="inlineStr"/>
      <c r="O169" s="49" t="inlineStr">
        <is>
          <t>Same cue</t>
        </is>
      </c>
    </row>
    <row r="170">
      <c r="A170" s="30" t="inlineStr">
        <is>
          <t>P3-D6-CLR-3</t>
        </is>
      </c>
      <c r="B170" s="30" t="inlineStr">
        <is>
          <t>3</t>
        </is>
      </c>
      <c r="C170" s="30" t="inlineStr">
        <is>
          <t>6</t>
        </is>
      </c>
      <c r="D170" s="30" t="inlineStr">
        <is>
          <t>COOLDOWN</t>
        </is>
      </c>
      <c r="E170" s="30" t="inlineStr">
        <is>
          <t>3</t>
        </is>
      </c>
      <c r="F170" s="30" t="inlineStr">
        <is>
          <t>STANDARD</t>
        </is>
      </c>
      <c r="G170" s="30" t="inlineStr">
        <is>
          <t>Doorway Hip Flexor</t>
        </is>
      </c>
      <c r="H170" s="30" t="inlineStr">
        <is>
          <t>2</t>
        </is>
      </c>
      <c r="I170" s="30" t="inlineStr">
        <is>
          <t>45s each</t>
        </is>
      </c>
      <c r="J170" s="30" t="inlineStr">
        <is>
          <t>RIGHT priority</t>
        </is>
      </c>
      <c r="K170" s="30" t="inlineStr"/>
      <c r="L170" s="30" t="inlineStr"/>
      <c r="M170" s="30" t="inlineStr"/>
      <c r="N170" s="30" t="inlineStr"/>
      <c r="O170" s="30" t="inlineStr">
        <is>
          <t>Same cue</t>
        </is>
      </c>
    </row>
    <row r="171">
      <c r="A171" s="49" t="inlineStr">
        <is>
          <t>P3-D6-CLR-4</t>
        </is>
      </c>
      <c r="B171" s="49" t="inlineStr">
        <is>
          <t>3</t>
        </is>
      </c>
      <c r="C171" s="49" t="inlineStr">
        <is>
          <t>6</t>
        </is>
      </c>
      <c r="D171" s="49" t="inlineStr">
        <is>
          <t>COOLDOWN</t>
        </is>
      </c>
      <c r="E171" s="49" t="inlineStr">
        <is>
          <t>4</t>
        </is>
      </c>
      <c r="F171" s="49" t="inlineStr">
        <is>
          <t>STANDARD</t>
        </is>
      </c>
      <c r="G171" s="49" t="inlineStr">
        <is>
          <t>Wrist + Forearm Flexor</t>
        </is>
      </c>
      <c r="H171" s="49" t="inlineStr">
        <is>
          <t>2</t>
        </is>
      </c>
      <c r="I171" s="49" t="inlineStr">
        <is>
          <t>30s each</t>
        </is>
      </c>
      <c r="J171" s="49" t="inlineStr">
        <is>
          <t>Same</t>
        </is>
      </c>
      <c r="K171" s="49" t="inlineStr"/>
      <c r="L171" s="49" t="inlineStr"/>
      <c r="M171" s="49" t="inlineStr"/>
      <c r="N171" s="49" t="inlineStr"/>
      <c r="O171" s="49" t="inlineStr">
        <is>
          <t>Same cue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3a1a"/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8" customWidth="1" min="38" max="38"/>
    <col width="8" customWidth="1" min="39" max="39"/>
    <col width="12" customWidth="1" min="40" max="40"/>
    <col width="30" customWidth="1" min="41" max="41"/>
    <col width="16" customWidth="1" min="42" max="42"/>
  </cols>
  <sheetData>
    <row r="1">
      <c r="A1" s="50" t="inlineStr">
        <is>
          <t>Date</t>
        </is>
      </c>
      <c r="B1" s="50" t="inlineStr">
        <is>
          <t>Day</t>
        </is>
      </c>
      <c r="C1" s="50" t="inlineStr">
        <is>
          <t>Phase</t>
        </is>
      </c>
      <c r="D1" s="50" t="inlineStr">
        <is>
          <t>Hip_Score</t>
        </is>
      </c>
      <c r="E1" s="50" t="inlineStr">
        <is>
          <t>Ex1_S1_kg</t>
        </is>
      </c>
      <c r="F1" s="50" t="inlineStr">
        <is>
          <t>Ex1_S1_reps</t>
        </is>
      </c>
      <c r="G1" s="50" t="inlineStr">
        <is>
          <t>Ex1_S2_kg</t>
        </is>
      </c>
      <c r="H1" s="50" t="inlineStr">
        <is>
          <t>Ex1_S2_reps</t>
        </is>
      </c>
      <c r="I1" s="50" t="inlineStr">
        <is>
          <t>Ex1_S3_kg</t>
        </is>
      </c>
      <c r="J1" s="50" t="inlineStr">
        <is>
          <t>Ex1_S3_reps</t>
        </is>
      </c>
      <c r="K1" s="50" t="inlineStr">
        <is>
          <t>Ex1_S4_kg</t>
        </is>
      </c>
      <c r="L1" s="50" t="inlineStr">
        <is>
          <t>Ex1_S4_reps</t>
        </is>
      </c>
      <c r="M1" s="50" t="inlineStr">
        <is>
          <t>Ex2_S1_kg</t>
        </is>
      </c>
      <c r="N1" s="50" t="inlineStr">
        <is>
          <t>Ex2_S1_reps</t>
        </is>
      </c>
      <c r="O1" s="50" t="inlineStr">
        <is>
          <t>Ex2_S2_kg</t>
        </is>
      </c>
      <c r="P1" s="50" t="inlineStr">
        <is>
          <t>Ex2_S2_reps</t>
        </is>
      </c>
      <c r="Q1" s="50" t="inlineStr">
        <is>
          <t>Ex2_S3_kg</t>
        </is>
      </c>
      <c r="R1" s="50" t="inlineStr">
        <is>
          <t>Ex2_S3_reps</t>
        </is>
      </c>
      <c r="S1" s="50" t="inlineStr">
        <is>
          <t>Ex2_S4_kg</t>
        </is>
      </c>
      <c r="T1" s="50" t="inlineStr">
        <is>
          <t>Ex2_S4_reps</t>
        </is>
      </c>
      <c r="U1" s="50" t="inlineStr">
        <is>
          <t>Ex3_S1_kg</t>
        </is>
      </c>
      <c r="V1" s="50" t="inlineStr">
        <is>
          <t>Ex3_S1_reps</t>
        </is>
      </c>
      <c r="W1" s="50" t="inlineStr">
        <is>
          <t>Ex3_S2_kg</t>
        </is>
      </c>
      <c r="X1" s="50" t="inlineStr">
        <is>
          <t>Ex3_S2_reps</t>
        </is>
      </c>
      <c r="Y1" s="50" t="inlineStr">
        <is>
          <t>Ex3_S3_kg</t>
        </is>
      </c>
      <c r="Z1" s="50" t="inlineStr">
        <is>
          <t>Ex3_S3_reps</t>
        </is>
      </c>
      <c r="AA1" s="50" t="inlineStr">
        <is>
          <t>Ex3_S4_kg</t>
        </is>
      </c>
      <c r="AB1" s="50" t="inlineStr">
        <is>
          <t>Ex3_S4_reps</t>
        </is>
      </c>
      <c r="AC1" s="50" t="inlineStr">
        <is>
          <t>Ex4_S1_kg</t>
        </is>
      </c>
      <c r="AD1" s="50" t="inlineStr">
        <is>
          <t>Ex4_S1_reps</t>
        </is>
      </c>
      <c r="AE1" s="50" t="inlineStr">
        <is>
          <t>Ex4_S2_kg</t>
        </is>
      </c>
      <c r="AF1" s="50" t="inlineStr">
        <is>
          <t>Ex4_S2_reps</t>
        </is>
      </c>
      <c r="AG1" s="50" t="inlineStr">
        <is>
          <t>Ex4_S3_kg</t>
        </is>
      </c>
      <c r="AH1" s="50" t="inlineStr">
        <is>
          <t>Ex4_S3_reps</t>
        </is>
      </c>
      <c r="AI1" s="50" t="inlineStr">
        <is>
          <t>Ex4_S4_kg</t>
        </is>
      </c>
      <c r="AJ1" s="50" t="inlineStr">
        <is>
          <t>Ex4_S4_reps</t>
        </is>
      </c>
      <c r="AK1" s="50" t="inlineStr">
        <is>
          <t>Mob_Done</t>
        </is>
      </c>
      <c r="AL1" s="50" t="inlineStr">
        <is>
          <t>Clr_Done</t>
        </is>
      </c>
      <c r="AM1" s="50" t="inlineStr">
        <is>
          <t>Bag_Rounds</t>
        </is>
      </c>
      <c r="AN1" s="50" t="inlineStr">
        <is>
          <t>Notes</t>
        </is>
      </c>
      <c r="AO1" s="50" t="inlineStr">
        <is>
          <t>Completeness_%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1a3a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40" customHeight="1">
      <c r="A1" s="39" t="inlineStr">
        <is>
          <t>📈  PERFORMANCE STATS</t>
        </is>
      </c>
    </row>
    <row r="2">
      <c r="A2" s="51" t="inlineStr"/>
      <c r="B2" s="52" t="inlineStr"/>
    </row>
    <row r="3">
      <c r="A3" s="53" t="inlineStr">
        <is>
          <t>TOTAL SESSIONS LOGGED</t>
        </is>
      </c>
      <c r="B3" s="52">
        <f>COUNTA(FightLog!A:A)-1</f>
        <v/>
      </c>
    </row>
    <row r="4">
      <c r="A4" s="53" t="inlineStr">
        <is>
          <t>CURRENT PHASE</t>
        </is>
      </c>
      <c r="B4" s="52">
        <f>Settings!B3</f>
        <v/>
      </c>
    </row>
    <row r="5">
      <c r="A5" s="53" t="inlineStr">
        <is>
          <t>PHASE UNLOCK STATUS</t>
        </is>
      </c>
      <c r="B5" s="52">
        <f>Settings!B10</f>
        <v/>
      </c>
    </row>
    <row r="6">
      <c r="A6" s="51" t="inlineStr"/>
      <c r="B6" s="52" t="inlineStr"/>
    </row>
    <row r="7">
      <c r="A7" s="53" t="inlineStr">
        <is>
          <t>AVG COMPLETENESS %</t>
        </is>
      </c>
      <c r="B7" s="52">
        <f>IFERROR(AVERAGE(FightLog!AO:AO),"-")</f>
        <v/>
      </c>
    </row>
    <row r="8">
      <c r="A8" s="53" t="inlineStr">
        <is>
          <t>BEST SESSION %</t>
        </is>
      </c>
      <c r="B8" s="52">
        <f>IFERROR(MAX(FightLog!AO:AO),"-")</f>
        <v/>
      </c>
    </row>
    <row r="9">
      <c r="A9" s="53" t="inlineStr">
        <is>
          <t>LOWEST HIP SCORE</t>
        </is>
      </c>
      <c r="B9" s="52">
        <f>IFERROR(MIN(FightLog!D:D),"-")</f>
        <v/>
      </c>
    </row>
    <row r="10">
      <c r="A10" s="53" t="inlineStr">
        <is>
          <t>AVG HIP SCORE</t>
        </is>
      </c>
      <c r="B10" s="52">
        <f>IFERROR(AVERAGE(FightLog!D:D),"-")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2026-03-10T03:45:14Z</dcterms:created>
  <dcterms:modified xsi:type="dcterms:W3CDTF">2026-03-10T03:45:14Z</dcterms:modified>
</cp:coreProperties>
</file>